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325" codeName="{7A2D7E96-6E34-419A-AE5F-296B3A7E7977}"/>
  <workbookPr codeName="ThisWorkbook"/>
  <mc:AlternateContent xmlns:mc="http://schemas.openxmlformats.org/markup-compatibility/2006">
    <mc:Choice Requires="x15">
      <x15ac:absPath xmlns:x15ac="http://schemas.microsoft.com/office/spreadsheetml/2010/11/ac" url="C:\Users\Tim Maas Gesteranus\Desktop\"/>
    </mc:Choice>
  </mc:AlternateContent>
  <xr:revisionPtr revIDLastSave="0" documentId="8_{2ED85A0D-E074-44CB-AC8F-2EFE4734917F}" xr6:coauthVersionLast="45" xr6:coauthVersionMax="45" xr10:uidLastSave="{00000000-0000-0000-0000-000000000000}"/>
  <workbookProtection workbookPassword="B126" lockStructure="1"/>
  <bookViews>
    <workbookView xWindow="-120" yWindow="-16320" windowWidth="29040" windowHeight="15840" xr2:uid="{00000000-000D-0000-FFFF-FFFF00000000}"/>
  </bookViews>
  <sheets>
    <sheet name="Burndown Chart" sheetId="1" r:id="rId1"/>
    <sheet name="Input" sheetId="3" r:id="rId2"/>
    <sheet name="Final Data" sheetId="4" state="veryHidden" r:id="rId3"/>
  </sheets>
  <definedNames>
    <definedName name="Date">OFFSET('Final Data'!$A$1,0,1,1,SUMPRODUCT(--('Final Data'!$B$1:$BJ$1&lt;&gt;"")))</definedName>
    <definedName name="HoursR">OFFSET('Final Data'!$A$3,0,1,1,SUMPRODUCT(--('Final Data'!$B$3:$BJ$3&lt;&gt;"")))</definedName>
    <definedName name="PlannedE">OFFSET('Final Data'!$A$2,0,1,1,SUMPRODUCT(--('Final Data'!$B$2:$BJ$2&lt;&gt;"")))</definedName>
  </definedNames>
  <calcPr calcId="191029" iterateDelta="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2" i="4" l="1"/>
  <c r="A3" i="4"/>
  <c r="B5" i="4" l="1"/>
  <c r="B2" i="3" l="1"/>
  <c r="B2" i="4" l="1"/>
  <c r="B3" i="4"/>
  <c r="H1" i="4" l="1"/>
  <c r="BJ1" i="4"/>
  <c r="BI1" i="4"/>
  <c r="BH1" i="4"/>
  <c r="BG1" i="4"/>
  <c r="BF1" i="4"/>
  <c r="BE1" i="4"/>
  <c r="BD1" i="4"/>
  <c r="BC1" i="4"/>
  <c r="BB1" i="4"/>
  <c r="BA1" i="4"/>
  <c r="AZ1" i="4"/>
  <c r="AY1" i="4"/>
  <c r="AX1" i="4"/>
  <c r="AW1" i="4"/>
  <c r="AV1" i="4"/>
  <c r="AU1" i="4"/>
  <c r="AT1" i="4"/>
  <c r="AS1" i="4"/>
  <c r="AR1" i="4"/>
  <c r="AQ1" i="4"/>
  <c r="AP1" i="4"/>
  <c r="AO1" i="4"/>
  <c r="AN1" i="4"/>
  <c r="AM1" i="4"/>
  <c r="AL1" i="4"/>
  <c r="AK1" i="4"/>
  <c r="AJ1" i="4"/>
  <c r="AI1" i="4"/>
  <c r="AH1" i="4"/>
  <c r="AG1" i="4"/>
  <c r="AF1" i="4"/>
  <c r="AE1" i="4"/>
  <c r="AD1" i="4"/>
  <c r="AC1" i="4"/>
  <c r="AB1" i="4"/>
  <c r="AA1" i="4"/>
  <c r="Z1" i="4"/>
  <c r="Y1" i="4"/>
  <c r="X1" i="4"/>
  <c r="W1" i="4"/>
  <c r="V1" i="4"/>
  <c r="U1" i="4"/>
  <c r="T1" i="4"/>
  <c r="S1" i="4"/>
  <c r="S4" i="4" s="1"/>
  <c r="R1" i="4"/>
  <c r="Q1" i="4"/>
  <c r="P1" i="4"/>
  <c r="O1" i="4"/>
  <c r="N1" i="4"/>
  <c r="M1" i="4"/>
  <c r="L1" i="4"/>
  <c r="K1" i="4"/>
  <c r="J1" i="4"/>
  <c r="I1" i="4"/>
  <c r="G1" i="4"/>
  <c r="F1" i="4"/>
  <c r="E1" i="4"/>
  <c r="D1" i="4"/>
  <c r="C1" i="4"/>
  <c r="F3" i="4" l="1"/>
  <c r="F4" i="4"/>
  <c r="K3" i="4"/>
  <c r="K4" i="4"/>
  <c r="O3" i="4"/>
  <c r="O4" i="4"/>
  <c r="C3" i="4"/>
  <c r="C4" i="4"/>
  <c r="C5" i="4" s="1"/>
  <c r="G3" i="4"/>
  <c r="G4" i="4"/>
  <c r="L3" i="4"/>
  <c r="L4" i="4"/>
  <c r="P3" i="4"/>
  <c r="P4" i="4"/>
  <c r="T4" i="4"/>
  <c r="T5" i="4"/>
  <c r="X4" i="4"/>
  <c r="X5" i="4"/>
  <c r="AB4" i="4"/>
  <c r="AB5" i="4"/>
  <c r="AF4" i="4"/>
  <c r="AF5" i="4"/>
  <c r="AJ4" i="4"/>
  <c r="AJ5" i="4"/>
  <c r="AN4" i="4"/>
  <c r="AN5" i="4"/>
  <c r="AR4" i="4"/>
  <c r="AR5" i="4"/>
  <c r="AV4" i="4"/>
  <c r="AV5" i="4"/>
  <c r="AZ4" i="4"/>
  <c r="AZ5" i="4"/>
  <c r="BD4" i="4"/>
  <c r="BD5" i="4"/>
  <c r="BH4" i="4"/>
  <c r="BH5" i="4"/>
  <c r="D3" i="4"/>
  <c r="D4" i="4"/>
  <c r="I3" i="4"/>
  <c r="I4" i="4"/>
  <c r="M3" i="4"/>
  <c r="M4" i="4"/>
  <c r="Q3" i="4"/>
  <c r="Q4" i="4"/>
  <c r="U4" i="4"/>
  <c r="U5" i="4"/>
  <c r="Y4" i="4"/>
  <c r="Y5" i="4"/>
  <c r="AC4" i="4"/>
  <c r="AC5" i="4"/>
  <c r="AG4" i="4"/>
  <c r="AG5" i="4"/>
  <c r="AK4" i="4"/>
  <c r="AK5" i="4"/>
  <c r="AO4" i="4"/>
  <c r="AO5" i="4"/>
  <c r="AS4" i="4"/>
  <c r="AS5" i="4"/>
  <c r="AW4" i="4"/>
  <c r="AW5" i="4"/>
  <c r="BA4" i="4"/>
  <c r="BA5" i="4"/>
  <c r="BE4" i="4"/>
  <c r="BE5" i="4"/>
  <c r="BI4" i="4"/>
  <c r="BI5" i="4"/>
  <c r="E3" i="4"/>
  <c r="E4" i="4"/>
  <c r="J3" i="4"/>
  <c r="J4" i="4"/>
  <c r="N3" i="4"/>
  <c r="N4" i="4"/>
  <c r="R3" i="4"/>
  <c r="R4" i="4"/>
  <c r="V5" i="4"/>
  <c r="V4" i="4"/>
  <c r="Z5" i="4"/>
  <c r="Z4" i="4"/>
  <c r="AD5" i="4"/>
  <c r="AD4" i="4"/>
  <c r="AH5" i="4"/>
  <c r="AH4" i="4"/>
  <c r="AL5" i="4"/>
  <c r="AL4" i="4"/>
  <c r="AP5" i="4"/>
  <c r="AP4" i="4"/>
  <c r="AT5" i="4"/>
  <c r="AT4" i="4"/>
  <c r="AX5" i="4"/>
  <c r="AX4" i="4"/>
  <c r="BB5" i="4"/>
  <c r="BB4" i="4"/>
  <c r="BF5" i="4"/>
  <c r="BF4" i="4"/>
  <c r="BJ5" i="4"/>
  <c r="BJ4" i="4"/>
  <c r="W4" i="4"/>
  <c r="W5" i="4"/>
  <c r="AA4" i="4"/>
  <c r="AA5" i="4"/>
  <c r="AE4" i="4"/>
  <c r="AE5" i="4"/>
  <c r="AI4" i="4"/>
  <c r="AI5" i="4"/>
  <c r="AM4" i="4"/>
  <c r="AM5" i="4"/>
  <c r="AQ4" i="4"/>
  <c r="AQ5" i="4"/>
  <c r="AU4" i="4"/>
  <c r="AU5" i="4"/>
  <c r="AY4" i="4"/>
  <c r="AY5" i="4"/>
  <c r="BC4" i="4"/>
  <c r="BC5" i="4"/>
  <c r="BG4" i="4"/>
  <c r="BG5" i="4"/>
  <c r="H3" i="4"/>
  <c r="H4" i="4"/>
  <c r="Y3" i="4"/>
  <c r="AG2" i="4"/>
  <c r="AG3" i="4"/>
  <c r="AO2" i="4"/>
  <c r="AO3" i="4"/>
  <c r="AW2" i="4"/>
  <c r="AW3" i="4"/>
  <c r="BE2" i="4"/>
  <c r="BE3" i="4"/>
  <c r="V3" i="4"/>
  <c r="AD3" i="4"/>
  <c r="AL3" i="4"/>
  <c r="AL2" i="4"/>
  <c r="AP3" i="4"/>
  <c r="AP2" i="4"/>
  <c r="AX3" i="4"/>
  <c r="AX2" i="4"/>
  <c r="BF3" i="4"/>
  <c r="BF2" i="4"/>
  <c r="BJ3" i="4"/>
  <c r="BJ2" i="4"/>
  <c r="W3" i="4"/>
  <c r="AA3" i="4"/>
  <c r="AE3" i="4"/>
  <c r="AI3" i="4"/>
  <c r="AI2" i="4"/>
  <c r="AM3" i="4"/>
  <c r="AM2" i="4"/>
  <c r="AQ3" i="4"/>
  <c r="AQ2" i="4"/>
  <c r="AU3" i="4"/>
  <c r="AU2" i="4"/>
  <c r="AY3" i="4"/>
  <c r="AY2" i="4"/>
  <c r="BC3" i="4"/>
  <c r="BC2" i="4"/>
  <c r="BG3" i="4"/>
  <c r="BG2" i="4"/>
  <c r="U3" i="4"/>
  <c r="AC3" i="4"/>
  <c r="AK2" i="4"/>
  <c r="AK3" i="4"/>
  <c r="AS2" i="4"/>
  <c r="AS3" i="4"/>
  <c r="BA2" i="4"/>
  <c r="BA3" i="4"/>
  <c r="BI2" i="4"/>
  <c r="BI3" i="4"/>
  <c r="Z3" i="4"/>
  <c r="AH3" i="4"/>
  <c r="AH2" i="4"/>
  <c r="AT3" i="4"/>
  <c r="AT2" i="4"/>
  <c r="BB3" i="4"/>
  <c r="BB2" i="4"/>
  <c r="T3" i="4"/>
  <c r="X3" i="4"/>
  <c r="AB3" i="4"/>
  <c r="AF2" i="4"/>
  <c r="AF3" i="4"/>
  <c r="AJ2" i="4"/>
  <c r="AJ3" i="4"/>
  <c r="AN2" i="4"/>
  <c r="AN3" i="4"/>
  <c r="AR2" i="4"/>
  <c r="AR3" i="4"/>
  <c r="AV2" i="4"/>
  <c r="AV3" i="4"/>
  <c r="AZ2" i="4"/>
  <c r="AZ3" i="4"/>
  <c r="BD2" i="4"/>
  <c r="BD3" i="4"/>
  <c r="BH2" i="4"/>
  <c r="BH3" i="4"/>
  <c r="C2" i="4"/>
  <c r="D2" i="4" s="1"/>
  <c r="E2" i="4" s="1"/>
  <c r="F2" i="4" s="1"/>
  <c r="G2" i="4" s="1"/>
  <c r="H2" i="4" s="1"/>
  <c r="I2" i="4" s="1"/>
  <c r="J2" i="4" s="1"/>
  <c r="K2" i="4" s="1"/>
  <c r="L2" i="4" s="1"/>
  <c r="M2" i="4" s="1"/>
  <c r="N2" i="4" s="1"/>
  <c r="O2" i="4" s="1"/>
  <c r="P2" i="4" s="1"/>
  <c r="Q2" i="4" s="1"/>
  <c r="R2" i="4" s="1"/>
  <c r="S2" i="4" s="1"/>
  <c r="T2" i="4" s="1"/>
  <c r="U2" i="4" s="1"/>
  <c r="V2" i="4" s="1"/>
  <c r="W2" i="4" s="1"/>
  <c r="X2" i="4" s="1"/>
  <c r="Y2" i="4" s="1"/>
  <c r="Z2" i="4" s="1"/>
  <c r="AA2" i="4" s="1"/>
  <c r="AB2" i="4" s="1"/>
  <c r="AC2" i="4" s="1"/>
  <c r="AD2" i="4" s="1"/>
  <c r="AE2" i="4" s="1"/>
  <c r="S3" i="4"/>
  <c r="D5" i="4" l="1"/>
  <c r="E5" i="4" s="1"/>
  <c r="F5" i="4" s="1"/>
  <c r="G5" i="4" s="1"/>
  <c r="H5" i="4" s="1"/>
  <c r="I5" i="4" s="1"/>
  <c r="J5" i="4" s="1"/>
  <c r="K5" i="4" s="1"/>
  <c r="L5" i="4" s="1"/>
  <c r="M5" i="4" s="1"/>
  <c r="N5" i="4" s="1"/>
  <c r="O5" i="4" s="1"/>
  <c r="P5" i="4" s="1"/>
  <c r="Q5" i="4" s="1"/>
  <c r="R5" i="4" s="1"/>
  <c r="S5" i="4" s="1"/>
</calcChain>
</file>

<file path=xl/sharedStrings.xml><?xml version="1.0" encoding="utf-8"?>
<sst xmlns="http://schemas.openxmlformats.org/spreadsheetml/2006/main" count="24" uniqueCount="24">
  <si>
    <t>Planned Effort</t>
  </si>
  <si>
    <t>Date</t>
  </si>
  <si>
    <t>Hours Remaining</t>
  </si>
  <si>
    <t>Day 0</t>
  </si>
  <si>
    <t>Burndown Chart</t>
  </si>
  <si>
    <t>Completed Tasks</t>
  </si>
  <si>
    <t>Remaining Tasks</t>
  </si>
  <si>
    <t>Customize the Legend</t>
  </si>
  <si>
    <t>Task / Story / Sprints</t>
  </si>
  <si>
    <t>Dates can be entered till column BJ, hence it supports upto 60 days (time duration).
Tasks can be entered till row 202, hence upto 200 tasks can be entered.
Enter Remaining Effort to complete the task at the end of that day only - 0 would mean that the task is completed</t>
  </si>
  <si>
    <r>
      <rPr>
        <b/>
        <sz val="11"/>
        <color theme="0"/>
        <rFont val="Calibri"/>
        <family val="2"/>
        <scheme val="minor"/>
      </rPr>
      <t>Validations</t>
    </r>
    <r>
      <rPr>
        <b/>
        <sz val="11"/>
        <color theme="1"/>
        <rFont val="Calibri"/>
        <family val="2"/>
        <scheme val="minor"/>
      </rPr>
      <t xml:space="preserve"> - Remaining Efforts can not be &gt; Planned Effort, Next Day's Remaining Effort should be &lt;= Previous Day's Remaining Effort, Negative entry is not allowed, Planned Effort, if Entered, should be &gt;=0, 
</t>
    </r>
    <r>
      <rPr>
        <b/>
        <sz val="11"/>
        <color theme="0"/>
        <rFont val="Calibri"/>
        <family val="2"/>
        <scheme val="minor"/>
      </rPr>
      <t>Weekend date will be highlighted in Orange.</t>
    </r>
  </si>
  <si>
    <t>Radar tonen met maps locaties</t>
  </si>
  <si>
    <t>Voorbereiden eindpresentatie project</t>
  </si>
  <si>
    <t>Retrospective voorbereiden</t>
  </si>
  <si>
    <t>Code herstructureren</t>
  </si>
  <si>
    <t>ICA-presents voorbereiden</t>
  </si>
  <si>
    <t>Meerdere markers tonen via script met plugin</t>
  </si>
  <si>
    <t>Software guidebook</t>
  </si>
  <si>
    <t>Performance testing Unity</t>
  </si>
  <si>
    <t>Burndownchart maken in Excel</t>
  </si>
  <si>
    <t>Het schrijven van editor/playtests met Nunit</t>
  </si>
  <si>
    <t>Marker tonen aan de hand van Google Maps</t>
  </si>
  <si>
    <t xml:space="preserve">Koppelen settings met rest van de applicatie </t>
  </si>
  <si>
    <t>Burndownchart is klaar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</si>
</sst>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dd\-mmm\-yy;@"/>
    <numFmt numFmtId="165" formatCode="[$-409]d\-mmm\-yy;@"/>
  </numFmts>
  <fonts count="6" x14ac:knownFonts="1">
    <font>
      <sz val="11"/>
      <color theme="1"/>
      <name val="Calibri"/>
      <family val="2"/>
      <scheme val="minor"/>
    </font>
    <font>
      <b/>
      <sz val="11"/>
      <color theme="0"/>
      <name val="Calibri"/>
      <family val="2"/>
      <scheme val="minor"/>
    </font>
    <font>
      <b/>
      <sz val="11"/>
      <color theme="1"/>
      <name val="Calibri"/>
      <family val="2"/>
      <scheme val="minor"/>
    </font>
    <font>
      <sz val="28"/>
      <color theme="0"/>
      <name val="Calibri"/>
      <family val="2"/>
      <scheme val="minor"/>
    </font>
    <font>
      <sz val="11"/>
      <color rgb="FF000000"/>
      <name val="Calibri"/>
      <family val="2"/>
    </font>
    <font>
      <sz val="20"/>
      <color rgb="FF000000"/>
      <name val="Calibri"/>
      <family val="2"/>
    </font>
  </fonts>
  <fills count="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1E6D41"/>
        <bgColor indexed="64"/>
      </patternFill>
    </fill>
    <fill>
      <patternFill patternType="solid">
        <fgColor rgb="FFCC9900"/>
        <bgColor indexed="64"/>
      </patternFill>
    </fill>
  </fills>
  <borders count="1">
    <border>
      <left/>
      <right/>
      <top/>
      <bottom/>
      <diagonal/>
    </border>
  </borders>
  <cellStyleXfs count="1">
    <xf numFmtId="0" fontId="0" fillId="0" borderId="0"/>
  </cellStyleXfs>
  <cellXfs count="16">
    <xf numFmtId="0" fontId="0" fillId="0" borderId="0" xfId="0"/>
    <xf numFmtId="0" fontId="2" fillId="0" borderId="0" xfId="0" applyFont="1"/>
    <xf numFmtId="0" fontId="0" fillId="0" borderId="0" xfId="0" applyFont="1"/>
    <xf numFmtId="0" fontId="0" fillId="0" borderId="0" xfId="0" applyAlignment="1">
      <alignment wrapText="1"/>
    </xf>
    <xf numFmtId="1" fontId="0" fillId="0" borderId="0" xfId="0" applyNumberFormat="1"/>
    <xf numFmtId="164" fontId="2" fillId="0" borderId="0" xfId="0" applyNumberFormat="1" applyFont="1"/>
    <xf numFmtId="1" fontId="2" fillId="0" borderId="0" xfId="0" applyNumberFormat="1" applyFont="1"/>
    <xf numFmtId="1" fontId="0" fillId="0" borderId="0" xfId="0" applyNumberFormat="1" applyFont="1"/>
    <xf numFmtId="165" fontId="2" fillId="0" borderId="0" xfId="0" applyNumberFormat="1" applyFont="1"/>
    <xf numFmtId="0" fontId="1" fillId="5" borderId="0" xfId="0" applyFont="1" applyFill="1"/>
    <xf numFmtId="0" fontId="3" fillId="4" borderId="0" xfId="0" applyFont="1" applyFill="1" applyAlignment="1" applyProtection="1">
      <alignment horizontal="center"/>
    </xf>
    <xf numFmtId="0" fontId="3" fillId="0" borderId="0" xfId="0" applyFont="1" applyAlignment="1" applyProtection="1"/>
    <xf numFmtId="0" fontId="0" fillId="0" borderId="0" xfId="0" applyAlignment="1"/>
    <xf numFmtId="0" fontId="2" fillId="2" borderId="0" xfId="0" applyNumberFormat="1" applyFont="1" applyFill="1" applyAlignment="1">
      <alignment wrapText="1"/>
    </xf>
    <xf numFmtId="0" fontId="2" fillId="3" borderId="0" xfId="0" applyFont="1" applyFill="1" applyAlignment="1">
      <alignment wrapText="1"/>
    </xf>
    <xf numFmtId="0" fontId="2" fillId="0" borderId="0" xfId="0" applyFont="1" applyAlignment="1"/>
  </cellXfs>
  <cellStyles count="1">
    <cellStyle name="Standaard" xfId="0" builtinId="0"/>
  </cellStyles>
  <dxfs count="1">
    <dxf>
      <fill>
        <patternFill>
          <bgColor rgb="FFFFC000"/>
        </patternFill>
      </fill>
    </dxf>
  </dxfs>
  <tableStyles count="0" defaultTableStyle="TableStyleMedium2" defaultPivotStyle="PivotStyleLight16"/>
  <colors>
    <mruColors>
      <color rgb="FFCC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b="1"/>
              <a:t>Project InterestAR - Burndown Chart</a:t>
            </a:r>
          </a:p>
          <a:p>
            <a:pPr>
              <a:defRPr/>
            </a:pPr>
            <a:r>
              <a:rPr lang="en-US" b="1"/>
              <a:t>Sprint - 4</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nl-NL"/>
        </a:p>
      </c:txPr>
    </c:title>
    <c:autoTitleDeleted val="0"/>
    <c:plotArea>
      <c:layout/>
      <c:lineChart>
        <c:grouping val="standard"/>
        <c:varyColors val="0"/>
        <c:ser>
          <c:idx val="0"/>
          <c:order val="0"/>
          <c:tx>
            <c:strRef>
              <c:f>'Final Data'!$A$2</c:f>
              <c:strCache>
                <c:ptCount val="1"/>
                <c:pt idx="0">
                  <c:v>Planned Effort</c:v>
                </c:pt>
              </c:strCache>
            </c:strRef>
          </c:tx>
          <c:spPr>
            <a:ln w="22225" cap="rnd" cmpd="sng" algn="ctr">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nl-NL"/>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1"/>
                <c:pt idx="0">
                  <c:v>Day 0</c:v>
                </c:pt>
                <c:pt idx="1">
                  <c:v>14-Jan-20</c:v>
                </c:pt>
                <c:pt idx="2">
                  <c:v>15-Jan-20</c:v>
                </c:pt>
                <c:pt idx="3">
                  <c:v>16-Jan-20</c:v>
                </c:pt>
                <c:pt idx="4">
                  <c:v>17-Jan-20</c:v>
                </c:pt>
                <c:pt idx="5">
                  <c:v>18-Jan-20</c:v>
                </c:pt>
                <c:pt idx="6">
                  <c:v>19-Jan-20</c:v>
                </c:pt>
                <c:pt idx="7">
                  <c:v>20-Jan-20</c:v>
                </c:pt>
                <c:pt idx="8">
                  <c:v>21-Jan-20</c:v>
                </c:pt>
                <c:pt idx="9">
                  <c:v>22-Jan-20</c:v>
                </c:pt>
                <c:pt idx="10">
                  <c:v>23-Jan-20</c:v>
                </c:pt>
              </c:strCache>
            </c:strRef>
          </c:cat>
          <c:val>
            <c:numRef>
              <c:f>[0]!PlannedE</c:f>
              <c:numCache>
                <c:formatCode>0</c:formatCode>
                <c:ptCount val="11"/>
                <c:pt idx="0">
                  <c:v>134</c:v>
                </c:pt>
                <c:pt idx="1">
                  <c:v>120.6</c:v>
                </c:pt>
                <c:pt idx="2">
                  <c:v>107.19999999999999</c:v>
                </c:pt>
                <c:pt idx="3">
                  <c:v>93.799999999999983</c:v>
                </c:pt>
                <c:pt idx="4">
                  <c:v>80.399999999999977</c:v>
                </c:pt>
                <c:pt idx="5">
                  <c:v>66.999999999999972</c:v>
                </c:pt>
                <c:pt idx="6">
                  <c:v>53.599999999999973</c:v>
                </c:pt>
                <c:pt idx="7">
                  <c:v>40.199999999999974</c:v>
                </c:pt>
                <c:pt idx="8">
                  <c:v>26.799999999999976</c:v>
                </c:pt>
                <c:pt idx="9">
                  <c:v>13.399999999999975</c:v>
                </c:pt>
                <c:pt idx="10">
                  <c:v>-2.4868995751603507E-14</c:v>
                </c:pt>
              </c:numCache>
            </c:numRef>
          </c:val>
          <c:smooth val="0"/>
          <c:extLst>
            <c:ext xmlns:c16="http://schemas.microsoft.com/office/drawing/2014/chart" uri="{C3380CC4-5D6E-409C-BE32-E72D297353CC}">
              <c16:uniqueId val="{00000000-1CCC-42F7-B15F-465DC2BDF331}"/>
            </c:ext>
          </c:extLst>
        </c:ser>
        <c:ser>
          <c:idx val="1"/>
          <c:order val="1"/>
          <c:tx>
            <c:strRef>
              <c:f>'Final Data'!$A$3</c:f>
              <c:strCache>
                <c:ptCount val="1"/>
                <c:pt idx="0">
                  <c:v>Hours Remaining</c:v>
                </c:pt>
              </c:strCache>
            </c:strRef>
          </c:tx>
          <c:spPr>
            <a:ln w="22225" cap="rnd" cmpd="sng" algn="ctr">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nl-NL"/>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1"/>
                <c:pt idx="0">
                  <c:v>Day 0</c:v>
                </c:pt>
                <c:pt idx="1">
                  <c:v>14-Jan-20</c:v>
                </c:pt>
                <c:pt idx="2">
                  <c:v>15-Jan-20</c:v>
                </c:pt>
                <c:pt idx="3">
                  <c:v>16-Jan-20</c:v>
                </c:pt>
                <c:pt idx="4">
                  <c:v>17-Jan-20</c:v>
                </c:pt>
                <c:pt idx="5">
                  <c:v>18-Jan-20</c:v>
                </c:pt>
                <c:pt idx="6">
                  <c:v>19-Jan-20</c:v>
                </c:pt>
                <c:pt idx="7">
                  <c:v>20-Jan-20</c:v>
                </c:pt>
                <c:pt idx="8">
                  <c:v>21-Jan-20</c:v>
                </c:pt>
                <c:pt idx="9">
                  <c:v>22-Jan-20</c:v>
                </c:pt>
                <c:pt idx="10">
                  <c:v>23-Jan-20</c:v>
                </c:pt>
              </c:strCache>
            </c:strRef>
          </c:cat>
          <c:val>
            <c:numRef>
              <c:f>[0]!HoursR</c:f>
              <c:numCache>
                <c:formatCode>0</c:formatCode>
                <c:ptCount val="11"/>
                <c:pt idx="0">
                  <c:v>134</c:v>
                </c:pt>
                <c:pt idx="1">
                  <c:v>107.5</c:v>
                </c:pt>
                <c:pt idx="2">
                  <c:v>91</c:v>
                </c:pt>
                <c:pt idx="3">
                  <c:v>92</c:v>
                </c:pt>
                <c:pt idx="4">
                  <c:v>85</c:v>
                </c:pt>
                <c:pt idx="5">
                  <c:v>85</c:v>
                </c:pt>
                <c:pt idx="6">
                  <c:v>85</c:v>
                </c:pt>
                <c:pt idx="7">
                  <c:v>62.5</c:v>
                </c:pt>
                <c:pt idx="8">
                  <c:v>39.6</c:v>
                </c:pt>
                <c:pt idx="9">
                  <c:v>24</c:v>
                </c:pt>
                <c:pt idx="10">
                  <c:v>24</c:v>
                </c:pt>
              </c:numCache>
            </c:numRef>
          </c:val>
          <c:smooth val="0"/>
          <c:extLst>
            <c:ext xmlns:c16="http://schemas.microsoft.com/office/drawing/2014/chart" uri="{C3380CC4-5D6E-409C-BE32-E72D297353CC}">
              <c16:uniqueId val="{00000001-1CCC-42F7-B15F-465DC2BDF331}"/>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smooth val="0"/>
        <c:axId val="469106496"/>
        <c:axId val="469725096"/>
      </c:lineChart>
      <c:catAx>
        <c:axId val="469106496"/>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nl-NL"/>
          </a:p>
        </c:txPr>
        <c:crossAx val="469725096"/>
        <c:crosses val="autoZero"/>
        <c:auto val="1"/>
        <c:lblAlgn val="ctr"/>
        <c:lblOffset val="100"/>
        <c:noMultiLvlLbl val="0"/>
      </c:catAx>
      <c:valAx>
        <c:axId val="469725096"/>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nl-NL"/>
          </a:p>
        </c:txPr>
        <c:crossAx val="469106496"/>
        <c:crosses val="autoZero"/>
        <c:crossBetween val="midCat"/>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nl-NL"/>
        </a:p>
      </c:txPr>
    </c:legend>
    <c:plotVisOnly val="1"/>
    <c:dispBlanksAs val="gap"/>
    <c:showDLblsOverMax val="0"/>
  </c:chart>
  <c:spPr>
    <a:solidFill>
      <a:schemeClr val="lt1"/>
    </a:solidFill>
    <a:ln w="9525" cap="flat" cmpd="sng" algn="ctr">
      <a:solidFill>
        <a:srgbClr val="C00000"/>
      </a:solidFill>
      <a:round/>
    </a:ln>
    <a:effectLst/>
  </c:spPr>
  <c:txPr>
    <a:bodyPr/>
    <a:lstStyle/>
    <a:p>
      <a:pPr>
        <a:defRPr/>
      </a:pPr>
      <a:endParaRPr lang="nl-NL"/>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b="1"/>
              <a:t>Project </a:t>
            </a:r>
            <a:r>
              <a:rPr lang="en-US" sz="1400" b="1" i="0" u="none" strike="noStrike" cap="none" baseline="0">
                <a:effectLst/>
              </a:rPr>
              <a:t>InterestAR</a:t>
            </a:r>
            <a:r>
              <a:rPr lang="en-US" b="1"/>
              <a:t> - Burndown Chart</a:t>
            </a:r>
          </a:p>
          <a:p>
            <a:pPr>
              <a:defRPr/>
            </a:pPr>
            <a:r>
              <a:rPr lang="en-US" b="1"/>
              <a:t>Sprint - 4</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nl-NL"/>
        </a:p>
      </c:txPr>
    </c:title>
    <c:autoTitleDeleted val="0"/>
    <c:plotArea>
      <c:layout/>
      <c:barChart>
        <c:barDir val="col"/>
        <c:grouping val="clustered"/>
        <c:varyColors val="0"/>
        <c:ser>
          <c:idx val="1"/>
          <c:order val="1"/>
          <c:tx>
            <c:strRef>
              <c:f>'Final Data'!$A$3</c:f>
              <c:strCache>
                <c:ptCount val="1"/>
                <c:pt idx="0">
                  <c:v>Hours Remaining</c:v>
                </c:pt>
              </c:strCache>
            </c:strRef>
          </c:tx>
          <c:spPr>
            <a:solidFill>
              <a:srgbClr val="FFC000"/>
            </a:solidFill>
            <a:ln w="9525" cap="flat" cmpd="sng" algn="ctr">
              <a:solidFill>
                <a:schemeClr val="accent2">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nl-NL"/>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1"/>
                <c:pt idx="0">
                  <c:v>Day 0</c:v>
                </c:pt>
                <c:pt idx="1">
                  <c:v>14-Jan-20</c:v>
                </c:pt>
                <c:pt idx="2">
                  <c:v>15-Jan-20</c:v>
                </c:pt>
                <c:pt idx="3">
                  <c:v>16-Jan-20</c:v>
                </c:pt>
                <c:pt idx="4">
                  <c:v>17-Jan-20</c:v>
                </c:pt>
                <c:pt idx="5">
                  <c:v>18-Jan-20</c:v>
                </c:pt>
                <c:pt idx="6">
                  <c:v>19-Jan-20</c:v>
                </c:pt>
                <c:pt idx="7">
                  <c:v>20-Jan-20</c:v>
                </c:pt>
                <c:pt idx="8">
                  <c:v>21-Jan-20</c:v>
                </c:pt>
                <c:pt idx="9">
                  <c:v>22-Jan-20</c:v>
                </c:pt>
                <c:pt idx="10">
                  <c:v>23-Jan-20</c:v>
                </c:pt>
              </c:strCache>
            </c:strRef>
          </c:cat>
          <c:val>
            <c:numRef>
              <c:f>[0]!HoursR</c:f>
              <c:numCache>
                <c:formatCode>0</c:formatCode>
                <c:ptCount val="11"/>
                <c:pt idx="0">
                  <c:v>134</c:v>
                </c:pt>
                <c:pt idx="1">
                  <c:v>107.5</c:v>
                </c:pt>
                <c:pt idx="2">
                  <c:v>91</c:v>
                </c:pt>
                <c:pt idx="3">
                  <c:v>92</c:v>
                </c:pt>
                <c:pt idx="4">
                  <c:v>85</c:v>
                </c:pt>
                <c:pt idx="5">
                  <c:v>85</c:v>
                </c:pt>
                <c:pt idx="6">
                  <c:v>85</c:v>
                </c:pt>
                <c:pt idx="7">
                  <c:v>62.5</c:v>
                </c:pt>
                <c:pt idx="8">
                  <c:v>39.6</c:v>
                </c:pt>
                <c:pt idx="9">
                  <c:v>24</c:v>
                </c:pt>
                <c:pt idx="10">
                  <c:v>24</c:v>
                </c:pt>
              </c:numCache>
            </c:numRef>
          </c:val>
          <c:extLst>
            <c:ext xmlns:c16="http://schemas.microsoft.com/office/drawing/2014/chart" uri="{C3380CC4-5D6E-409C-BE32-E72D297353CC}">
              <c16:uniqueId val="{00000000-ACCA-4392-903B-C9669F93C8C9}"/>
            </c:ext>
          </c:extLst>
        </c:ser>
        <c:dLbls>
          <c:showLegendKey val="0"/>
          <c:showVal val="0"/>
          <c:showCatName val="0"/>
          <c:showSerName val="0"/>
          <c:showPercent val="0"/>
          <c:showBubbleSize val="0"/>
        </c:dLbls>
        <c:gapWidth val="150"/>
        <c:axId val="469725880"/>
        <c:axId val="469724312"/>
      </c:barChart>
      <c:lineChart>
        <c:grouping val="standard"/>
        <c:varyColors val="0"/>
        <c:ser>
          <c:idx val="0"/>
          <c:order val="0"/>
          <c:tx>
            <c:strRef>
              <c:f>'Final Data'!$A$2</c:f>
              <c:strCache>
                <c:ptCount val="1"/>
                <c:pt idx="0">
                  <c:v>Planned Effort</c:v>
                </c:pt>
              </c:strCache>
            </c:strRef>
          </c:tx>
          <c:spPr>
            <a:ln w="22225" cap="rnd" cmpd="sng" algn="ctr">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nl-NL"/>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1"/>
                <c:pt idx="0">
                  <c:v>Day 0</c:v>
                </c:pt>
                <c:pt idx="1">
                  <c:v>14-Jan-20</c:v>
                </c:pt>
                <c:pt idx="2">
                  <c:v>15-Jan-20</c:v>
                </c:pt>
                <c:pt idx="3">
                  <c:v>16-Jan-20</c:v>
                </c:pt>
                <c:pt idx="4">
                  <c:v>17-Jan-20</c:v>
                </c:pt>
                <c:pt idx="5">
                  <c:v>18-Jan-20</c:v>
                </c:pt>
                <c:pt idx="6">
                  <c:v>19-Jan-20</c:v>
                </c:pt>
                <c:pt idx="7">
                  <c:v>20-Jan-20</c:v>
                </c:pt>
                <c:pt idx="8">
                  <c:v>21-Jan-20</c:v>
                </c:pt>
                <c:pt idx="9">
                  <c:v>22-Jan-20</c:v>
                </c:pt>
                <c:pt idx="10">
                  <c:v>23-Jan-20</c:v>
                </c:pt>
              </c:strCache>
            </c:strRef>
          </c:cat>
          <c:val>
            <c:numRef>
              <c:f>[0]!PlannedE</c:f>
              <c:numCache>
                <c:formatCode>0</c:formatCode>
                <c:ptCount val="11"/>
                <c:pt idx="0">
                  <c:v>134</c:v>
                </c:pt>
                <c:pt idx="1">
                  <c:v>120.6</c:v>
                </c:pt>
                <c:pt idx="2">
                  <c:v>107.19999999999999</c:v>
                </c:pt>
                <c:pt idx="3">
                  <c:v>93.799999999999983</c:v>
                </c:pt>
                <c:pt idx="4">
                  <c:v>80.399999999999977</c:v>
                </c:pt>
                <c:pt idx="5">
                  <c:v>66.999999999999972</c:v>
                </c:pt>
                <c:pt idx="6">
                  <c:v>53.599999999999973</c:v>
                </c:pt>
                <c:pt idx="7">
                  <c:v>40.199999999999974</c:v>
                </c:pt>
                <c:pt idx="8">
                  <c:v>26.799999999999976</c:v>
                </c:pt>
                <c:pt idx="9">
                  <c:v>13.399999999999975</c:v>
                </c:pt>
                <c:pt idx="10">
                  <c:v>-2.4868995751603507E-14</c:v>
                </c:pt>
              </c:numCache>
            </c:numRef>
          </c:val>
          <c:smooth val="0"/>
          <c:extLst>
            <c:ext xmlns:c16="http://schemas.microsoft.com/office/drawing/2014/chart" uri="{C3380CC4-5D6E-409C-BE32-E72D297353CC}">
              <c16:uniqueId val="{00000001-ACCA-4392-903B-C9669F93C8C9}"/>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469725880"/>
        <c:axId val="469724312"/>
      </c:lineChart>
      <c:catAx>
        <c:axId val="469725880"/>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nl-NL"/>
          </a:p>
        </c:txPr>
        <c:crossAx val="469724312"/>
        <c:crosses val="autoZero"/>
        <c:auto val="1"/>
        <c:lblAlgn val="ctr"/>
        <c:lblOffset val="100"/>
        <c:noMultiLvlLbl val="0"/>
      </c:catAx>
      <c:valAx>
        <c:axId val="46972431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nl-NL"/>
          </a:p>
        </c:txPr>
        <c:crossAx val="469725880"/>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nl-NL"/>
        </a:p>
      </c:txPr>
    </c:legend>
    <c:plotVisOnly val="1"/>
    <c:dispBlanksAs val="gap"/>
    <c:showDLblsOverMax val="0"/>
  </c:chart>
  <c:spPr>
    <a:solidFill>
      <a:schemeClr val="lt1"/>
    </a:solidFill>
    <a:ln w="9525" cap="flat" cmpd="sng" algn="ctr">
      <a:solidFill>
        <a:srgbClr val="C00000"/>
      </a:solidFill>
      <a:round/>
    </a:ln>
    <a:effectLst/>
  </c:spPr>
  <c:txPr>
    <a:bodyPr/>
    <a:lstStyle/>
    <a:p>
      <a:pPr>
        <a:defRPr/>
      </a:pPr>
      <a:endParaRPr lang="nl-NL"/>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b="1"/>
              <a:t>Project </a:t>
            </a:r>
            <a:r>
              <a:rPr lang="en-US" sz="1400" b="1" i="0" u="none" strike="noStrike" cap="none" baseline="0">
                <a:effectLst/>
              </a:rPr>
              <a:t>InterestAR</a:t>
            </a:r>
            <a:r>
              <a:rPr lang="en-US" b="1"/>
              <a:t> - Burndown Chart</a:t>
            </a:r>
          </a:p>
          <a:p>
            <a:pPr>
              <a:defRPr/>
            </a:pPr>
            <a:r>
              <a:rPr lang="en-US" b="1"/>
              <a:t>Sprint - 4</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nl-NL"/>
        </a:p>
      </c:txPr>
    </c:title>
    <c:autoTitleDeleted val="0"/>
    <c:plotArea>
      <c:layout/>
      <c:areaChart>
        <c:grouping val="stacked"/>
        <c:varyColors val="0"/>
        <c:ser>
          <c:idx val="1"/>
          <c:order val="1"/>
          <c:tx>
            <c:strRef>
              <c:f>'Final Data'!$A$3</c:f>
              <c:strCache>
                <c:ptCount val="1"/>
                <c:pt idx="0">
                  <c:v>Hours Remaining</c:v>
                </c:pt>
              </c:strCache>
            </c:strRef>
          </c:tx>
          <c:spPr>
            <a:solidFill>
              <a:srgbClr val="FFFF00"/>
            </a:solidFill>
            <a:ln w="9525" cap="flat" cmpd="sng" algn="ctr">
              <a:solidFill>
                <a:schemeClr val="accent2">
                  <a:shade val="95000"/>
                </a:schemeClr>
              </a:solidFill>
              <a:round/>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nl-NL"/>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1"/>
                <c:pt idx="0">
                  <c:v>Day 0</c:v>
                </c:pt>
                <c:pt idx="1">
                  <c:v>14-Jan-20</c:v>
                </c:pt>
                <c:pt idx="2">
                  <c:v>15-Jan-20</c:v>
                </c:pt>
                <c:pt idx="3">
                  <c:v>16-Jan-20</c:v>
                </c:pt>
                <c:pt idx="4">
                  <c:v>17-Jan-20</c:v>
                </c:pt>
                <c:pt idx="5">
                  <c:v>18-Jan-20</c:v>
                </c:pt>
                <c:pt idx="6">
                  <c:v>19-Jan-20</c:v>
                </c:pt>
                <c:pt idx="7">
                  <c:v>20-Jan-20</c:v>
                </c:pt>
                <c:pt idx="8">
                  <c:v>21-Jan-20</c:v>
                </c:pt>
                <c:pt idx="9">
                  <c:v>22-Jan-20</c:v>
                </c:pt>
                <c:pt idx="10">
                  <c:v>23-Jan-20</c:v>
                </c:pt>
              </c:strCache>
            </c:strRef>
          </c:cat>
          <c:val>
            <c:numRef>
              <c:f>[0]!HoursR</c:f>
              <c:numCache>
                <c:formatCode>0</c:formatCode>
                <c:ptCount val="11"/>
                <c:pt idx="0">
                  <c:v>134</c:v>
                </c:pt>
                <c:pt idx="1">
                  <c:v>107.5</c:v>
                </c:pt>
                <c:pt idx="2">
                  <c:v>91</c:v>
                </c:pt>
                <c:pt idx="3">
                  <c:v>92</c:v>
                </c:pt>
                <c:pt idx="4">
                  <c:v>85</c:v>
                </c:pt>
                <c:pt idx="5">
                  <c:v>85</c:v>
                </c:pt>
                <c:pt idx="6">
                  <c:v>85</c:v>
                </c:pt>
                <c:pt idx="7">
                  <c:v>62.5</c:v>
                </c:pt>
                <c:pt idx="8">
                  <c:v>39.6</c:v>
                </c:pt>
                <c:pt idx="9">
                  <c:v>24</c:v>
                </c:pt>
                <c:pt idx="10">
                  <c:v>24</c:v>
                </c:pt>
              </c:numCache>
            </c:numRef>
          </c:val>
          <c:extLst>
            <c:ext xmlns:c16="http://schemas.microsoft.com/office/drawing/2014/chart" uri="{C3380CC4-5D6E-409C-BE32-E72D297353CC}">
              <c16:uniqueId val="{00000000-7DAD-4164-A3BF-E0E0CDB07505}"/>
            </c:ext>
          </c:extLst>
        </c:ser>
        <c:dLbls>
          <c:showLegendKey val="0"/>
          <c:showVal val="0"/>
          <c:showCatName val="0"/>
          <c:showSerName val="0"/>
          <c:showPercent val="0"/>
          <c:showBubbleSize val="0"/>
        </c:dLbls>
        <c:axId val="467268456"/>
        <c:axId val="467271592"/>
      </c:areaChart>
      <c:lineChart>
        <c:grouping val="standard"/>
        <c:varyColors val="0"/>
        <c:ser>
          <c:idx val="0"/>
          <c:order val="0"/>
          <c:tx>
            <c:strRef>
              <c:f>'Final Data'!$A$2</c:f>
              <c:strCache>
                <c:ptCount val="1"/>
                <c:pt idx="0">
                  <c:v>Planned Effort</c:v>
                </c:pt>
              </c:strCache>
            </c:strRef>
          </c:tx>
          <c:spPr>
            <a:ln w="22225" cap="rnd" cmpd="sng" algn="ctr">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nl-NL"/>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1"/>
                <c:pt idx="0">
                  <c:v>Day 0</c:v>
                </c:pt>
                <c:pt idx="1">
                  <c:v>14-Jan-20</c:v>
                </c:pt>
                <c:pt idx="2">
                  <c:v>15-Jan-20</c:v>
                </c:pt>
                <c:pt idx="3">
                  <c:v>16-Jan-20</c:v>
                </c:pt>
                <c:pt idx="4">
                  <c:v>17-Jan-20</c:v>
                </c:pt>
                <c:pt idx="5">
                  <c:v>18-Jan-20</c:v>
                </c:pt>
                <c:pt idx="6">
                  <c:v>19-Jan-20</c:v>
                </c:pt>
                <c:pt idx="7">
                  <c:v>20-Jan-20</c:v>
                </c:pt>
                <c:pt idx="8">
                  <c:v>21-Jan-20</c:v>
                </c:pt>
                <c:pt idx="9">
                  <c:v>22-Jan-20</c:v>
                </c:pt>
                <c:pt idx="10">
                  <c:v>23-Jan-20</c:v>
                </c:pt>
              </c:strCache>
            </c:strRef>
          </c:cat>
          <c:val>
            <c:numRef>
              <c:f>[0]!PlannedE</c:f>
              <c:numCache>
                <c:formatCode>0</c:formatCode>
                <c:ptCount val="11"/>
                <c:pt idx="0">
                  <c:v>134</c:v>
                </c:pt>
                <c:pt idx="1">
                  <c:v>120.6</c:v>
                </c:pt>
                <c:pt idx="2">
                  <c:v>107.19999999999999</c:v>
                </c:pt>
                <c:pt idx="3">
                  <c:v>93.799999999999983</c:v>
                </c:pt>
                <c:pt idx="4">
                  <c:v>80.399999999999977</c:v>
                </c:pt>
                <c:pt idx="5">
                  <c:v>66.999999999999972</c:v>
                </c:pt>
                <c:pt idx="6">
                  <c:v>53.599999999999973</c:v>
                </c:pt>
                <c:pt idx="7">
                  <c:v>40.199999999999974</c:v>
                </c:pt>
                <c:pt idx="8">
                  <c:v>26.799999999999976</c:v>
                </c:pt>
                <c:pt idx="9">
                  <c:v>13.399999999999975</c:v>
                </c:pt>
                <c:pt idx="10">
                  <c:v>-2.4868995751603507E-14</c:v>
                </c:pt>
              </c:numCache>
            </c:numRef>
          </c:val>
          <c:smooth val="0"/>
          <c:extLst>
            <c:ext xmlns:c16="http://schemas.microsoft.com/office/drawing/2014/chart" uri="{C3380CC4-5D6E-409C-BE32-E72D297353CC}">
              <c16:uniqueId val="{00000001-7DAD-4164-A3BF-E0E0CDB07505}"/>
            </c:ext>
          </c:extLst>
        </c:ser>
        <c:dLbls>
          <c:showLegendKey val="0"/>
          <c:showVal val="0"/>
          <c:showCatName val="0"/>
          <c:showSerName val="0"/>
          <c:showPercent val="0"/>
          <c:showBubbleSize val="0"/>
        </c:dLbls>
        <c:marker val="1"/>
        <c:smooth val="0"/>
        <c:axId val="467268456"/>
        <c:axId val="467271592"/>
      </c:lineChart>
      <c:catAx>
        <c:axId val="467268456"/>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nl-NL"/>
          </a:p>
        </c:txPr>
        <c:crossAx val="467271592"/>
        <c:crosses val="autoZero"/>
        <c:auto val="1"/>
        <c:lblAlgn val="ctr"/>
        <c:lblOffset val="100"/>
        <c:noMultiLvlLbl val="0"/>
      </c:catAx>
      <c:valAx>
        <c:axId val="46727159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nl-NL"/>
          </a:p>
        </c:txPr>
        <c:crossAx val="467268456"/>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nl-NL"/>
        </a:p>
      </c:txPr>
    </c:legend>
    <c:plotVisOnly val="1"/>
    <c:dispBlanksAs val="gap"/>
    <c:showDLblsOverMax val="0"/>
  </c:chart>
  <c:spPr>
    <a:solidFill>
      <a:schemeClr val="lt1"/>
    </a:solidFill>
    <a:ln w="9525" cap="flat" cmpd="sng" algn="ctr">
      <a:solidFill>
        <a:srgbClr val="C00000"/>
      </a:solidFill>
      <a:round/>
    </a:ln>
    <a:effectLst/>
  </c:spPr>
  <c:txPr>
    <a:bodyPr/>
    <a:lstStyle/>
    <a:p>
      <a:pPr>
        <a:defRPr/>
      </a:pPr>
      <a:endParaRPr lang="nl-NL"/>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b="1"/>
              <a:t>Project </a:t>
            </a:r>
            <a:r>
              <a:rPr lang="en-US" sz="1400" b="1" i="0" u="none" strike="noStrike" cap="none" baseline="0">
                <a:effectLst/>
              </a:rPr>
              <a:t>InterestAR</a:t>
            </a:r>
            <a:r>
              <a:rPr lang="en-US" b="1"/>
              <a:t> - Burndown Chart</a:t>
            </a:r>
          </a:p>
          <a:p>
            <a:pPr>
              <a:defRPr/>
            </a:pPr>
            <a:r>
              <a:rPr lang="en-US" b="1"/>
              <a:t>Sprint - 4</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nl-NL"/>
        </a:p>
      </c:txPr>
    </c:title>
    <c:autoTitleDeleted val="0"/>
    <c:plotArea>
      <c:layout/>
      <c:barChart>
        <c:barDir val="col"/>
        <c:grouping val="clustered"/>
        <c:varyColors val="0"/>
        <c:ser>
          <c:idx val="0"/>
          <c:order val="0"/>
          <c:tx>
            <c:strRef>
              <c:f>'Final Data'!$A$2</c:f>
              <c:strCache>
                <c:ptCount val="1"/>
                <c:pt idx="0">
                  <c:v>Planned Effort</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nl-NL"/>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1"/>
                <c:pt idx="0">
                  <c:v>Day 0</c:v>
                </c:pt>
                <c:pt idx="1">
                  <c:v>14-Jan-20</c:v>
                </c:pt>
                <c:pt idx="2">
                  <c:v>15-Jan-20</c:v>
                </c:pt>
                <c:pt idx="3">
                  <c:v>16-Jan-20</c:v>
                </c:pt>
                <c:pt idx="4">
                  <c:v>17-Jan-20</c:v>
                </c:pt>
                <c:pt idx="5">
                  <c:v>18-Jan-20</c:v>
                </c:pt>
                <c:pt idx="6">
                  <c:v>19-Jan-20</c:v>
                </c:pt>
                <c:pt idx="7">
                  <c:v>20-Jan-20</c:v>
                </c:pt>
                <c:pt idx="8">
                  <c:v>21-Jan-20</c:v>
                </c:pt>
                <c:pt idx="9">
                  <c:v>22-Jan-20</c:v>
                </c:pt>
                <c:pt idx="10">
                  <c:v>23-Jan-20</c:v>
                </c:pt>
              </c:strCache>
            </c:strRef>
          </c:cat>
          <c:val>
            <c:numRef>
              <c:f>[0]!PlannedE</c:f>
              <c:numCache>
                <c:formatCode>0</c:formatCode>
                <c:ptCount val="11"/>
                <c:pt idx="0">
                  <c:v>134</c:v>
                </c:pt>
                <c:pt idx="1">
                  <c:v>120.6</c:v>
                </c:pt>
                <c:pt idx="2">
                  <c:v>107.19999999999999</c:v>
                </c:pt>
                <c:pt idx="3">
                  <c:v>93.799999999999983</c:v>
                </c:pt>
                <c:pt idx="4">
                  <c:v>80.399999999999977</c:v>
                </c:pt>
                <c:pt idx="5">
                  <c:v>66.999999999999972</c:v>
                </c:pt>
                <c:pt idx="6">
                  <c:v>53.599999999999973</c:v>
                </c:pt>
                <c:pt idx="7">
                  <c:v>40.199999999999974</c:v>
                </c:pt>
                <c:pt idx="8">
                  <c:v>26.799999999999976</c:v>
                </c:pt>
                <c:pt idx="9">
                  <c:v>13.399999999999975</c:v>
                </c:pt>
                <c:pt idx="10">
                  <c:v>-2.4868995751603507E-14</c:v>
                </c:pt>
              </c:numCache>
            </c:numRef>
          </c:val>
          <c:extLst>
            <c:ext xmlns:c16="http://schemas.microsoft.com/office/drawing/2014/chart" uri="{C3380CC4-5D6E-409C-BE32-E72D297353CC}">
              <c16:uniqueId val="{00000000-AB3F-4718-A6C5-49279CABC647}"/>
            </c:ext>
          </c:extLst>
        </c:ser>
        <c:ser>
          <c:idx val="1"/>
          <c:order val="1"/>
          <c:tx>
            <c:strRef>
              <c:f>'Final Data'!$A$3</c:f>
              <c:strCache>
                <c:ptCount val="1"/>
                <c:pt idx="0">
                  <c:v>Hours Remaining</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nl-NL"/>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1"/>
                <c:pt idx="0">
                  <c:v>Day 0</c:v>
                </c:pt>
                <c:pt idx="1">
                  <c:v>14-Jan-20</c:v>
                </c:pt>
                <c:pt idx="2">
                  <c:v>15-Jan-20</c:v>
                </c:pt>
                <c:pt idx="3">
                  <c:v>16-Jan-20</c:v>
                </c:pt>
                <c:pt idx="4">
                  <c:v>17-Jan-20</c:v>
                </c:pt>
                <c:pt idx="5">
                  <c:v>18-Jan-20</c:v>
                </c:pt>
                <c:pt idx="6">
                  <c:v>19-Jan-20</c:v>
                </c:pt>
                <c:pt idx="7">
                  <c:v>20-Jan-20</c:v>
                </c:pt>
                <c:pt idx="8">
                  <c:v>21-Jan-20</c:v>
                </c:pt>
                <c:pt idx="9">
                  <c:v>22-Jan-20</c:v>
                </c:pt>
                <c:pt idx="10">
                  <c:v>23-Jan-20</c:v>
                </c:pt>
              </c:strCache>
            </c:strRef>
          </c:cat>
          <c:val>
            <c:numRef>
              <c:f>[0]!HoursR</c:f>
              <c:numCache>
                <c:formatCode>0</c:formatCode>
                <c:ptCount val="11"/>
                <c:pt idx="0">
                  <c:v>134</c:v>
                </c:pt>
                <c:pt idx="1">
                  <c:v>107.5</c:v>
                </c:pt>
                <c:pt idx="2">
                  <c:v>91</c:v>
                </c:pt>
                <c:pt idx="3">
                  <c:v>92</c:v>
                </c:pt>
                <c:pt idx="4">
                  <c:v>85</c:v>
                </c:pt>
                <c:pt idx="5">
                  <c:v>85</c:v>
                </c:pt>
                <c:pt idx="6">
                  <c:v>85</c:v>
                </c:pt>
                <c:pt idx="7">
                  <c:v>62.5</c:v>
                </c:pt>
                <c:pt idx="8">
                  <c:v>39.6</c:v>
                </c:pt>
                <c:pt idx="9">
                  <c:v>24</c:v>
                </c:pt>
                <c:pt idx="10">
                  <c:v>24</c:v>
                </c:pt>
              </c:numCache>
            </c:numRef>
          </c:val>
          <c:extLst>
            <c:ext xmlns:c16="http://schemas.microsoft.com/office/drawing/2014/chart" uri="{C3380CC4-5D6E-409C-BE32-E72D297353CC}">
              <c16:uniqueId val="{00000001-AB3F-4718-A6C5-49279CABC647}"/>
            </c:ext>
          </c:extLst>
        </c:ser>
        <c:dLbls>
          <c:showLegendKey val="0"/>
          <c:showVal val="0"/>
          <c:showCatName val="0"/>
          <c:showSerName val="0"/>
          <c:showPercent val="0"/>
          <c:showBubbleSize val="0"/>
        </c:dLbls>
        <c:gapWidth val="150"/>
        <c:axId val="467270808"/>
        <c:axId val="157314904"/>
      </c:barChart>
      <c:catAx>
        <c:axId val="467270808"/>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nl-NL"/>
          </a:p>
        </c:txPr>
        <c:crossAx val="157314904"/>
        <c:crosses val="autoZero"/>
        <c:auto val="1"/>
        <c:lblAlgn val="ctr"/>
        <c:lblOffset val="100"/>
        <c:noMultiLvlLbl val="0"/>
      </c:catAx>
      <c:valAx>
        <c:axId val="15731490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nl-NL"/>
          </a:p>
        </c:txPr>
        <c:crossAx val="467270808"/>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nl-NL"/>
        </a:p>
      </c:txPr>
    </c:legend>
    <c:plotVisOnly val="1"/>
    <c:dispBlanksAs val="gap"/>
    <c:showDLblsOverMax val="0"/>
  </c:chart>
  <c:spPr>
    <a:solidFill>
      <a:schemeClr val="lt1"/>
    </a:solidFill>
    <a:ln w="9525" cap="flat" cmpd="sng" algn="ctr">
      <a:solidFill>
        <a:srgbClr val="C00000"/>
      </a:solidFill>
      <a:round/>
    </a:ln>
    <a:effectLst/>
  </c:spPr>
  <c:txPr>
    <a:bodyPr/>
    <a:lstStyle/>
    <a:p>
      <a:pPr>
        <a:defRPr/>
      </a:pPr>
      <a:endParaRPr lang="nl-NL"/>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eforexcel.com/wp" TargetMode="External"/><Relationship Id="rId1" Type="http://schemas.openxmlformats.org/officeDocument/2006/relationships/chart" Target="../charts/chart1.xml"/><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57150</xdr:colOff>
      <xdr:row>3</xdr:row>
      <xdr:rowOff>76200</xdr:rowOff>
    </xdr:from>
    <xdr:to>
      <xdr:col>10</xdr:col>
      <xdr:colOff>76200</xdr:colOff>
      <xdr:row>22</xdr:row>
      <xdr:rowOff>47625</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0</xdr:row>
      <xdr:rowOff>0</xdr:rowOff>
    </xdr:from>
    <xdr:to>
      <xdr:col>3</xdr:col>
      <xdr:colOff>521040</xdr:colOff>
      <xdr:row>2</xdr:row>
      <xdr:rowOff>21336</xdr:rowOff>
    </xdr:to>
    <xdr:pic>
      <xdr:nvPicPr>
        <xdr:cNvPr id="3" name="Picture 2">
          <a:hlinkClick xmlns:r="http://schemas.openxmlformats.org/officeDocument/2006/relationships" r:id="rId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0"/>
          <a:ext cx="2349840" cy="402336"/>
        </a:xfrm>
        <a:prstGeom prst="rect">
          <a:avLst/>
        </a:prstGeom>
      </xdr:spPr>
    </xdr:pic>
    <xdr:clientData/>
  </xdr:twoCellAnchor>
  <xdr:twoCellAnchor>
    <xdr:from>
      <xdr:col>12</xdr:col>
      <xdr:colOff>0</xdr:colOff>
      <xdr:row>0</xdr:row>
      <xdr:rowOff>0</xdr:rowOff>
    </xdr:from>
    <xdr:to>
      <xdr:col>18</xdr:col>
      <xdr:colOff>590550</xdr:colOff>
      <xdr:row>2</xdr:row>
      <xdr:rowOff>114300</xdr:rowOff>
    </xdr:to>
    <xdr:sp macro="" textlink="">
      <xdr:nvSpPr>
        <xdr:cNvPr id="4" name="Rectangle 3">
          <a:extLst>
            <a:ext uri="{FF2B5EF4-FFF2-40B4-BE49-F238E27FC236}">
              <a16:creationId xmlns:a16="http://schemas.microsoft.com/office/drawing/2014/main" id="{00000000-0008-0000-0000-000004000000}"/>
            </a:ext>
          </a:extLst>
        </xdr:cNvPr>
        <xdr:cNvSpPr/>
      </xdr:nvSpPr>
      <xdr:spPr>
        <a:xfrm>
          <a:off x="8096250" y="0"/>
          <a:ext cx="4248150" cy="4953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You can customize</a:t>
          </a:r>
          <a:r>
            <a:rPr lang="en-US" sz="1100" b="1" baseline="0"/>
            <a:t> your Legend. For example, Planned Effort can be Planned Burndown, Planned Stories.....</a:t>
          </a:r>
          <a:endParaRPr lang="en-US" sz="1100" b="1"/>
        </a:p>
      </xdr:txBody>
    </xdr:sp>
    <xdr:clientData/>
  </xdr:twoCellAnchor>
  <xdr:twoCellAnchor>
    <xdr:from>
      <xdr:col>10</xdr:col>
      <xdr:colOff>161925</xdr:colOff>
      <xdr:row>3</xdr:row>
      <xdr:rowOff>76200</xdr:rowOff>
    </xdr:from>
    <xdr:to>
      <xdr:col>19</xdr:col>
      <xdr:colOff>447675</xdr:colOff>
      <xdr:row>22</xdr:row>
      <xdr:rowOff>47625</xdr:rowOff>
    </xdr:to>
    <xdr:graphicFrame macro="">
      <xdr:nvGraphicFramePr>
        <xdr:cNvPr id="6" name="Chart 5">
          <a:extLst>
            <a:ext uri="{FF2B5EF4-FFF2-40B4-BE49-F238E27FC236}">
              <a16:creationId xmlns:a16="http://schemas.microsoft.com/office/drawing/2014/main" id="{00000000-0008-0000-00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66675</xdr:colOff>
      <xdr:row>23</xdr:row>
      <xdr:rowOff>180975</xdr:rowOff>
    </xdr:from>
    <xdr:to>
      <xdr:col>10</xdr:col>
      <xdr:colOff>85725</xdr:colOff>
      <xdr:row>42</xdr:row>
      <xdr:rowOff>152400</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0</xdr:colOff>
      <xdr:row>23</xdr:row>
      <xdr:rowOff>180975</xdr:rowOff>
    </xdr:from>
    <xdr:to>
      <xdr:col>19</xdr:col>
      <xdr:colOff>457200</xdr:colOff>
      <xdr:row>42</xdr:row>
      <xdr:rowOff>152400</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121920</xdr:rowOff>
        </xdr:from>
        <xdr:to>
          <xdr:col>1</xdr:col>
          <xdr:colOff>838200</xdr:colOff>
          <xdr:row>0</xdr:row>
          <xdr:rowOff>495300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nl-NL" sz="2000" b="0" i="0" u="none" strike="noStrike" baseline="0">
                  <a:solidFill>
                    <a:srgbClr val="000000"/>
                  </a:solidFill>
                  <a:latin typeface="Calibri"/>
                  <a:cs typeface="Calibri"/>
                </a:rPr>
                <a:t>Clear Old Data</a:t>
              </a:r>
              <a:endParaRPr lang="nl-NL" sz="1100" b="0" i="0" u="none" strike="noStrike" baseline="0">
                <a:solidFill>
                  <a:srgbClr val="000000"/>
                </a:solidFill>
                <a:latin typeface="Calibri"/>
                <a:cs typeface="Calibri"/>
              </a:endParaRPr>
            </a:p>
            <a:p>
              <a:pPr algn="ctr" rtl="0">
                <a:defRPr sz="1000"/>
              </a:pPr>
              <a:r>
                <a:rPr lang="nl-NL" sz="1100" b="0" i="0" u="none" strike="noStrike" baseline="0">
                  <a:solidFill>
                    <a:srgbClr val="000000"/>
                  </a:solidFill>
                  <a:latin typeface="Calibri"/>
                  <a:cs typeface="Calibri"/>
                </a:rPr>
                <a:t> </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D1:L3"/>
  <sheetViews>
    <sheetView tabSelected="1" workbookViewId="0">
      <selection activeCell="V32" sqref="V32"/>
    </sheetView>
  </sheetViews>
  <sheetFormatPr defaultRowHeight="14.4" x14ac:dyDescent="0.3"/>
  <cols>
    <col min="11" max="11" width="2.5546875" customWidth="1"/>
    <col min="12" max="12" width="20.88671875" bestFit="1" customWidth="1"/>
  </cols>
  <sheetData>
    <row r="1" spans="4:12" x14ac:dyDescent="0.3">
      <c r="D1" s="10" t="s">
        <v>4</v>
      </c>
      <c r="E1" s="11"/>
      <c r="F1" s="11"/>
      <c r="G1" s="11"/>
      <c r="H1" s="11"/>
      <c r="I1" s="11"/>
      <c r="J1" s="12"/>
      <c r="L1" s="9" t="s">
        <v>7</v>
      </c>
    </row>
    <row r="2" spans="4:12" x14ac:dyDescent="0.3">
      <c r="D2" s="11"/>
      <c r="E2" s="11"/>
      <c r="F2" s="11"/>
      <c r="G2" s="11"/>
      <c r="H2" s="11"/>
      <c r="I2" s="11"/>
      <c r="J2" s="12"/>
      <c r="L2" s="1" t="s">
        <v>0</v>
      </c>
    </row>
    <row r="3" spans="4:12" x14ac:dyDescent="0.3">
      <c r="L3" s="1" t="s">
        <v>2</v>
      </c>
    </row>
  </sheetData>
  <mergeCells count="1">
    <mergeCell ref="D1:J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J203"/>
  <sheetViews>
    <sheetView workbookViewId="0">
      <pane ySplit="2" topLeftCell="A3" activePane="bottomLeft" state="frozen"/>
      <selection pane="bottomLeft" activeCell="L12" sqref="L12"/>
    </sheetView>
  </sheetViews>
  <sheetFormatPr defaultColWidth="0" defaultRowHeight="14.4" zeroHeight="1" x14ac:dyDescent="0.3"/>
  <cols>
    <col min="1" max="1" width="38.109375" customWidth="1"/>
    <col min="2" max="2" width="13.88671875" customWidth="1"/>
    <col min="3" max="62" width="9.109375" customWidth="1"/>
    <col min="63" max="16384" width="9.109375" hidden="1"/>
  </cols>
  <sheetData>
    <row r="1" spans="1:62" ht="60" customHeight="1" x14ac:dyDescent="0.3">
      <c r="C1" s="13" t="s">
        <v>9</v>
      </c>
      <c r="D1" s="13"/>
      <c r="E1" s="13"/>
      <c r="F1" s="13"/>
      <c r="G1" s="13"/>
      <c r="H1" s="13"/>
      <c r="I1" s="13"/>
      <c r="J1" s="13"/>
      <c r="K1" s="13"/>
      <c r="L1" s="13"/>
      <c r="M1" s="13"/>
      <c r="N1" s="14" t="s">
        <v>10</v>
      </c>
      <c r="O1" s="15"/>
      <c r="P1" s="15"/>
      <c r="Q1" s="15"/>
      <c r="R1" s="15"/>
      <c r="S1" s="15"/>
      <c r="T1" s="12"/>
    </row>
    <row r="2" spans="1:62" s="1" customFormat="1" x14ac:dyDescent="0.3">
      <c r="A2" s="5" t="s">
        <v>8</v>
      </c>
      <c r="B2" s="5" t="str">
        <f>IF('Burndown Chart'!$L$2="","Planned Effort",'Burndown Chart'!$L$2)</f>
        <v>Planned Effort</v>
      </c>
      <c r="C2" s="5">
        <v>43844</v>
      </c>
      <c r="D2" s="5">
        <v>43845</v>
      </c>
      <c r="E2" s="5">
        <v>43846</v>
      </c>
      <c r="F2" s="5">
        <v>43847</v>
      </c>
      <c r="G2" s="5">
        <v>43848</v>
      </c>
      <c r="H2" s="5">
        <v>43849</v>
      </c>
      <c r="I2" s="5">
        <v>43850</v>
      </c>
      <c r="J2" s="5">
        <v>43851</v>
      </c>
      <c r="K2" s="5">
        <v>43852</v>
      </c>
      <c r="L2" s="5">
        <v>43853</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row>
    <row r="3" spans="1:62" x14ac:dyDescent="0.3">
      <c r="A3" t="s">
        <v>11</v>
      </c>
      <c r="B3">
        <v>20</v>
      </c>
      <c r="C3">
        <v>18.5</v>
      </c>
      <c r="D3">
        <v>17</v>
      </c>
      <c r="E3">
        <v>17</v>
      </c>
      <c r="F3">
        <v>14.5</v>
      </c>
      <c r="G3">
        <v>14.5</v>
      </c>
      <c r="H3">
        <v>14.5</v>
      </c>
      <c r="I3">
        <v>4.5</v>
      </c>
      <c r="J3">
        <v>1.5</v>
      </c>
      <c r="K3">
        <v>0</v>
      </c>
      <c r="L3">
        <v>0</v>
      </c>
      <c r="M3" s="3"/>
      <c r="N3" s="3"/>
      <c r="O3" s="3"/>
      <c r="P3" s="3"/>
      <c r="Q3" s="3"/>
      <c r="R3" s="3"/>
      <c r="S3" s="3"/>
      <c r="T3" s="3"/>
      <c r="U3" s="3"/>
      <c r="V3" s="3"/>
      <c r="W3" s="3"/>
      <c r="X3" s="3"/>
      <c r="Y3" s="3"/>
      <c r="Z3" s="3"/>
      <c r="AA3" s="3"/>
      <c r="AB3" s="3"/>
      <c r="AC3" s="3"/>
      <c r="AD3" s="3"/>
      <c r="AE3" s="3"/>
      <c r="AF3" s="3"/>
      <c r="AG3" s="3"/>
      <c r="AH3" s="3"/>
      <c r="AI3" s="3"/>
      <c r="AJ3" s="3"/>
      <c r="AK3" s="3"/>
      <c r="AL3" s="3"/>
      <c r="AM3" s="3"/>
      <c r="AN3" s="3"/>
      <c r="AO3" s="3"/>
      <c r="AP3" s="3"/>
      <c r="AQ3" s="3"/>
      <c r="AR3" s="3"/>
      <c r="AS3" s="3"/>
      <c r="AT3" s="3"/>
      <c r="AU3" s="3"/>
      <c r="AV3" s="3"/>
      <c r="AW3" s="3"/>
      <c r="AX3" s="3"/>
      <c r="AY3" s="3"/>
      <c r="AZ3" s="3"/>
      <c r="BA3" s="3"/>
      <c r="BB3" s="3"/>
      <c r="BC3" s="3"/>
      <c r="BD3" s="3"/>
      <c r="BE3" s="3"/>
      <c r="BF3" s="3"/>
      <c r="BG3" s="3"/>
      <c r="BH3" s="3"/>
      <c r="BI3" s="3"/>
      <c r="BJ3" s="3"/>
    </row>
    <row r="4" spans="1:62" x14ac:dyDescent="0.3">
      <c r="A4" t="s">
        <v>12</v>
      </c>
      <c r="B4">
        <v>3</v>
      </c>
      <c r="C4">
        <v>1.5</v>
      </c>
      <c r="D4">
        <v>0.5</v>
      </c>
      <c r="E4">
        <v>0.5</v>
      </c>
      <c r="F4">
        <v>0.5</v>
      </c>
      <c r="G4">
        <v>0.5</v>
      </c>
      <c r="H4">
        <v>0.5</v>
      </c>
      <c r="I4">
        <v>0.5</v>
      </c>
      <c r="J4">
        <v>0.5</v>
      </c>
      <c r="K4">
        <v>0</v>
      </c>
      <c r="L4">
        <v>0</v>
      </c>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row>
    <row r="5" spans="1:62" x14ac:dyDescent="0.3">
      <c r="A5" t="s">
        <v>13</v>
      </c>
      <c r="B5">
        <v>3</v>
      </c>
      <c r="C5">
        <v>3</v>
      </c>
      <c r="D5">
        <v>3</v>
      </c>
      <c r="E5">
        <v>3</v>
      </c>
      <c r="F5">
        <v>3</v>
      </c>
      <c r="G5">
        <v>3</v>
      </c>
      <c r="H5">
        <v>3</v>
      </c>
      <c r="I5">
        <v>3</v>
      </c>
      <c r="J5">
        <v>3</v>
      </c>
      <c r="K5">
        <v>3</v>
      </c>
      <c r="L5">
        <v>3</v>
      </c>
      <c r="M5" s="3"/>
      <c r="N5" s="3"/>
      <c r="O5" s="3"/>
      <c r="P5" s="3"/>
      <c r="Q5" s="3"/>
      <c r="R5" s="3"/>
      <c r="S5" s="3">
        <v>0</v>
      </c>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row>
    <row r="6" spans="1:62" x14ac:dyDescent="0.3">
      <c r="A6" t="s">
        <v>14</v>
      </c>
      <c r="B6">
        <v>10</v>
      </c>
      <c r="C6">
        <v>10</v>
      </c>
      <c r="D6">
        <v>8</v>
      </c>
      <c r="E6">
        <v>8</v>
      </c>
      <c r="F6">
        <v>8</v>
      </c>
      <c r="G6">
        <v>8</v>
      </c>
      <c r="H6">
        <v>8</v>
      </c>
      <c r="I6">
        <v>8</v>
      </c>
      <c r="J6">
        <v>4</v>
      </c>
      <c r="K6">
        <v>0</v>
      </c>
      <c r="L6">
        <v>0</v>
      </c>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row>
    <row r="7" spans="1:62" x14ac:dyDescent="0.3">
      <c r="A7" t="s">
        <v>15</v>
      </c>
      <c r="B7">
        <v>9</v>
      </c>
      <c r="C7">
        <v>7</v>
      </c>
      <c r="D7">
        <v>2</v>
      </c>
      <c r="E7">
        <v>2</v>
      </c>
      <c r="F7">
        <v>2</v>
      </c>
      <c r="G7">
        <v>2</v>
      </c>
      <c r="H7">
        <v>2</v>
      </c>
      <c r="I7">
        <v>0.5</v>
      </c>
      <c r="J7">
        <v>0.5</v>
      </c>
      <c r="K7">
        <v>0</v>
      </c>
      <c r="L7">
        <v>0</v>
      </c>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row>
    <row r="8" spans="1:62" x14ac:dyDescent="0.3">
      <c r="A8" t="s">
        <v>16</v>
      </c>
      <c r="B8">
        <v>6</v>
      </c>
      <c r="C8">
        <v>0.5</v>
      </c>
      <c r="D8">
        <v>0.5</v>
      </c>
      <c r="E8">
        <v>0.5</v>
      </c>
      <c r="F8">
        <v>0.5</v>
      </c>
      <c r="G8">
        <v>0.5</v>
      </c>
      <c r="H8">
        <v>0.5</v>
      </c>
      <c r="I8">
        <v>0.5</v>
      </c>
      <c r="J8">
        <v>0.5</v>
      </c>
      <c r="K8">
        <v>0</v>
      </c>
      <c r="L8">
        <v>0</v>
      </c>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row>
    <row r="9" spans="1:62" x14ac:dyDescent="0.3">
      <c r="A9" t="s">
        <v>17</v>
      </c>
      <c r="B9">
        <v>20</v>
      </c>
      <c r="C9">
        <v>18</v>
      </c>
      <c r="D9">
        <v>18</v>
      </c>
      <c r="E9">
        <v>18</v>
      </c>
      <c r="F9">
        <v>15.5</v>
      </c>
      <c r="G9">
        <v>15.5</v>
      </c>
      <c r="H9">
        <v>15.5</v>
      </c>
      <c r="I9">
        <v>12.5</v>
      </c>
      <c r="J9">
        <v>6.6</v>
      </c>
      <c r="K9">
        <v>0</v>
      </c>
      <c r="L9">
        <v>0</v>
      </c>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row>
    <row r="10" spans="1:62" x14ac:dyDescent="0.3">
      <c r="A10" t="s">
        <v>18</v>
      </c>
      <c r="B10">
        <v>8</v>
      </c>
      <c r="C10">
        <v>3</v>
      </c>
      <c r="D10">
        <v>2</v>
      </c>
      <c r="E10">
        <v>3</v>
      </c>
      <c r="F10">
        <v>3</v>
      </c>
      <c r="G10">
        <v>3</v>
      </c>
      <c r="H10">
        <v>3</v>
      </c>
      <c r="I10">
        <v>2.5</v>
      </c>
      <c r="J10">
        <v>0.5</v>
      </c>
      <c r="K10">
        <v>0</v>
      </c>
      <c r="L10">
        <v>0</v>
      </c>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row>
    <row r="11" spans="1:62" x14ac:dyDescent="0.3">
      <c r="A11" t="s">
        <v>19</v>
      </c>
      <c r="B11">
        <v>2</v>
      </c>
      <c r="C11">
        <v>1.5</v>
      </c>
      <c r="D11">
        <v>0</v>
      </c>
      <c r="E11">
        <v>0</v>
      </c>
      <c r="F11">
        <v>0</v>
      </c>
      <c r="G11">
        <v>0</v>
      </c>
      <c r="H11">
        <v>0</v>
      </c>
      <c r="I11">
        <v>0</v>
      </c>
      <c r="J11">
        <v>0</v>
      </c>
      <c r="K11">
        <v>0</v>
      </c>
      <c r="L11">
        <v>0</v>
      </c>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row>
    <row r="12" spans="1:62" x14ac:dyDescent="0.3">
      <c r="A12" t="s">
        <v>20</v>
      </c>
      <c r="B12">
        <v>40</v>
      </c>
      <c r="C12">
        <v>36.5</v>
      </c>
      <c r="D12">
        <v>34.5</v>
      </c>
      <c r="E12">
        <v>34.5</v>
      </c>
      <c r="F12">
        <v>34.5</v>
      </c>
      <c r="G12">
        <v>34.5</v>
      </c>
      <c r="H12">
        <v>34.5</v>
      </c>
      <c r="I12">
        <v>27</v>
      </c>
      <c r="J12">
        <v>21</v>
      </c>
      <c r="K12">
        <v>21</v>
      </c>
      <c r="L12">
        <v>21</v>
      </c>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row>
    <row r="13" spans="1:62" x14ac:dyDescent="0.3">
      <c r="A13" t="s">
        <v>21</v>
      </c>
      <c r="B13">
        <v>5</v>
      </c>
      <c r="C13">
        <v>0</v>
      </c>
      <c r="D13">
        <v>0</v>
      </c>
      <c r="E13">
        <v>0</v>
      </c>
      <c r="F13">
        <v>0</v>
      </c>
      <c r="G13">
        <v>0</v>
      </c>
      <c r="H13">
        <v>0</v>
      </c>
      <c r="I13">
        <v>0</v>
      </c>
      <c r="J13">
        <v>0</v>
      </c>
      <c r="K13">
        <v>0</v>
      </c>
      <c r="L13">
        <v>0</v>
      </c>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c r="BD13" s="3"/>
      <c r="BE13" s="3"/>
      <c r="BF13" s="3"/>
      <c r="BG13" s="3"/>
      <c r="BH13" s="3"/>
      <c r="BI13" s="3"/>
      <c r="BJ13" s="3"/>
    </row>
    <row r="14" spans="1:62" x14ac:dyDescent="0.3">
      <c r="A14" t="s">
        <v>22</v>
      </c>
      <c r="B14">
        <v>8</v>
      </c>
      <c r="C14">
        <v>8</v>
      </c>
      <c r="D14">
        <v>5.5</v>
      </c>
      <c r="E14">
        <v>5.5</v>
      </c>
      <c r="F14">
        <v>3.5</v>
      </c>
      <c r="G14">
        <v>3.5</v>
      </c>
      <c r="H14">
        <v>3.5</v>
      </c>
      <c r="I14">
        <v>3.5</v>
      </c>
      <c r="J14">
        <v>1.5</v>
      </c>
      <c r="K14">
        <v>0</v>
      </c>
      <c r="L14">
        <v>0</v>
      </c>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row>
    <row r="15" spans="1:62" x14ac:dyDescent="0.3">
      <c r="C15" s="3"/>
      <c r="D15" s="3"/>
      <c r="E15" s="3"/>
      <c r="F15" s="3"/>
      <c r="G15" s="3"/>
      <c r="H15" s="3"/>
      <c r="I15" s="3"/>
      <c r="J15" s="3"/>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row>
    <row r="16" spans="1:62" x14ac:dyDescent="0.3">
      <c r="C16" s="3"/>
      <c r="D16" s="3"/>
      <c r="E16" s="3"/>
      <c r="F16" s="3"/>
      <c r="G16" s="3"/>
      <c r="H16" s="3"/>
      <c r="I16" s="3"/>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row>
    <row r="17" spans="1:62" x14ac:dyDescent="0.3">
      <c r="C17" s="3"/>
      <c r="D17" s="3"/>
      <c r="E17" s="3"/>
      <c r="F17" s="3"/>
      <c r="G17" s="3"/>
      <c r="H17" s="3"/>
      <c r="I17" s="3"/>
      <c r="J17" s="3"/>
      <c r="K17" s="3"/>
      <c r="L17" s="3"/>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row>
    <row r="18" spans="1:62" x14ac:dyDescent="0.3">
      <c r="A18" t="s">
        <v>23</v>
      </c>
      <c r="C18" s="3"/>
      <c r="D18" s="3"/>
      <c r="E18" s="3"/>
      <c r="F18" s="3"/>
      <c r="G18" s="3"/>
      <c r="H18" s="3"/>
      <c r="I18" s="3"/>
      <c r="J18" s="3"/>
      <c r="K18" s="3"/>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row>
    <row r="19" spans="1:62" x14ac:dyDescent="0.3">
      <c r="C19" s="3"/>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row>
    <row r="20" spans="1:62" x14ac:dyDescent="0.3">
      <c r="C20" s="3"/>
      <c r="D20" s="3"/>
      <c r="E20" s="3"/>
      <c r="F20" s="3"/>
      <c r="G20" s="3"/>
      <c r="H20" s="3"/>
      <c r="I20" s="3"/>
      <c r="J20" s="3"/>
      <c r="K20" s="3"/>
      <c r="L20" s="3"/>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row>
    <row r="21" spans="1:62" x14ac:dyDescent="0.3">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row>
    <row r="22" spans="1:62" x14ac:dyDescent="0.3">
      <c r="C22" s="3"/>
      <c r="D22" s="3"/>
      <c r="E22" s="3"/>
      <c r="F22" s="3"/>
      <c r="G22" s="3"/>
      <c r="H22" s="3"/>
      <c r="I22" s="3"/>
      <c r="J22" s="3"/>
      <c r="K22" s="3"/>
      <c r="L22" s="3"/>
      <c r="M22" s="3"/>
      <c r="N22" s="3"/>
      <c r="O22" s="3"/>
      <c r="P22" s="3"/>
      <c r="Q22" s="3"/>
      <c r="R22" s="3"/>
      <c r="S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c r="BA22" s="3"/>
      <c r="BB22" s="3"/>
      <c r="BC22" s="3"/>
      <c r="BD22" s="3"/>
      <c r="BE22" s="3"/>
      <c r="BF22" s="3"/>
      <c r="BG22" s="3"/>
      <c r="BH22" s="3"/>
      <c r="BI22" s="3"/>
      <c r="BJ22" s="3"/>
    </row>
    <row r="23" spans="1:62" x14ac:dyDescent="0.3">
      <c r="C23" s="3"/>
      <c r="D23" s="3"/>
      <c r="E23" s="3"/>
      <c r="F23" s="3"/>
      <c r="G23" s="3"/>
      <c r="H23" s="3"/>
      <c r="I23" s="3"/>
      <c r="J23" s="3"/>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row>
    <row r="24" spans="1:62" x14ac:dyDescent="0.3">
      <c r="C24" s="3"/>
      <c r="D24" s="3"/>
      <c r="E24" s="3"/>
      <c r="F24" s="3"/>
      <c r="G24" s="3"/>
      <c r="H24" s="3"/>
      <c r="I24" s="3"/>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row>
    <row r="25" spans="1:62" x14ac:dyDescent="0.3">
      <c r="C25" s="3"/>
      <c r="D25" s="3"/>
      <c r="E25" s="3"/>
      <c r="F25" s="3"/>
      <c r="G25" s="3"/>
      <c r="H25" s="3"/>
      <c r="I25" s="3"/>
      <c r="J25" s="3"/>
      <c r="K25" s="3"/>
      <c r="L25" s="3"/>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row>
    <row r="26" spans="1:62" x14ac:dyDescent="0.3">
      <c r="C26" s="3"/>
      <c r="D26" s="3"/>
      <c r="E26" s="3"/>
      <c r="F26" s="3"/>
      <c r="G26" s="3"/>
      <c r="H26" s="3"/>
      <c r="I26" s="3"/>
      <c r="J26" s="3"/>
      <c r="K26" s="3"/>
      <c r="L26" s="3"/>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row>
    <row r="27" spans="1:62" x14ac:dyDescent="0.3">
      <c r="C27" s="3"/>
      <c r="D27" s="3"/>
      <c r="E27" s="3"/>
      <c r="F27" s="3"/>
      <c r="G27" s="3"/>
      <c r="H27" s="3"/>
      <c r="I27" s="3"/>
      <c r="J27" s="3"/>
      <c r="K27" s="3"/>
      <c r="L27" s="3"/>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row>
    <row r="28" spans="1:62" x14ac:dyDescent="0.3">
      <c r="C28" s="3"/>
      <c r="D28" s="3"/>
      <c r="E28" s="3"/>
      <c r="F28" s="3"/>
      <c r="G28" s="3"/>
      <c r="H28" s="3"/>
      <c r="I28" s="3"/>
      <c r="J28" s="3"/>
      <c r="K28" s="3"/>
      <c r="L28" s="3"/>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row>
    <row r="29" spans="1:62" x14ac:dyDescent="0.3">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row>
    <row r="30" spans="1:62" x14ac:dyDescent="0.3">
      <c r="C30" s="3"/>
      <c r="D30" s="3"/>
      <c r="E30" s="3"/>
      <c r="F30" s="3"/>
      <c r="G30" s="3"/>
      <c r="H30" s="3"/>
      <c r="I30" s="3"/>
      <c r="J30" s="3"/>
      <c r="K30" s="3"/>
      <c r="L30" s="3"/>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row>
    <row r="31" spans="1:62" x14ac:dyDescent="0.3">
      <c r="C31" s="3"/>
      <c r="D31" s="3"/>
      <c r="E31" s="3"/>
      <c r="F31" s="3"/>
      <c r="G31" s="3"/>
      <c r="H31" s="3"/>
      <c r="I31" s="3"/>
      <c r="J31" s="3"/>
      <c r="K31" s="3"/>
      <c r="L31" s="3"/>
      <c r="M31" s="3"/>
      <c r="N31" s="3"/>
      <c r="O31" s="3"/>
      <c r="P31" s="3"/>
      <c r="Q31" s="3"/>
      <c r="R31" s="3"/>
      <c r="S31" s="3"/>
      <c r="T31" s="3"/>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row>
    <row r="32" spans="1:62" x14ac:dyDescent="0.3">
      <c r="C32" s="3"/>
      <c r="D32" s="3"/>
      <c r="E32" s="3"/>
      <c r="F32" s="3"/>
      <c r="G32" s="3"/>
      <c r="H32" s="3"/>
      <c r="I32" s="3"/>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row>
    <row r="33" spans="3:62" x14ac:dyDescent="0.3">
      <c r="C33" s="3"/>
      <c r="D33" s="3"/>
      <c r="E33" s="3"/>
      <c r="F33" s="3"/>
      <c r="G33" s="3"/>
      <c r="H33" s="3"/>
      <c r="I33" s="3"/>
      <c r="J33" s="3"/>
      <c r="K33" s="3"/>
      <c r="L33" s="3"/>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row>
    <row r="34" spans="3:62" x14ac:dyDescent="0.3">
      <c r="C34" s="3"/>
      <c r="D34" s="3"/>
      <c r="E34" s="3"/>
      <c r="F34" s="3"/>
      <c r="G34" s="3"/>
      <c r="H34" s="3"/>
      <c r="I34" s="3"/>
      <c r="J34" s="3"/>
      <c r="K34" s="3"/>
      <c r="L34" s="3"/>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row>
    <row r="35" spans="3:62" x14ac:dyDescent="0.3">
      <c r="C35" s="3"/>
      <c r="D35" s="3"/>
      <c r="E35" s="3"/>
      <c r="F35" s="3"/>
      <c r="G35" s="3"/>
      <c r="H35" s="3"/>
      <c r="I35" s="3"/>
      <c r="J35" s="3"/>
      <c r="K35" s="3"/>
      <c r="L35" s="3"/>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row>
    <row r="36" spans="3:62" x14ac:dyDescent="0.3">
      <c r="C36" s="3"/>
      <c r="D36" s="3"/>
      <c r="E36" s="3"/>
      <c r="F36" s="3"/>
      <c r="G36" s="3"/>
      <c r="H36" s="3"/>
      <c r="I36" s="3"/>
      <c r="J36" s="3"/>
      <c r="K36" s="3"/>
      <c r="L36" s="3"/>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row>
    <row r="37" spans="3:62" x14ac:dyDescent="0.3">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row>
    <row r="38" spans="3:62" x14ac:dyDescent="0.3">
      <c r="C38" s="3"/>
      <c r="D38" s="3"/>
      <c r="E38" s="3"/>
      <c r="F38" s="3"/>
      <c r="G38" s="3"/>
      <c r="H38" s="3"/>
      <c r="I38" s="3"/>
      <c r="J38" s="3"/>
      <c r="K38" s="3"/>
      <c r="L38" s="3"/>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row>
    <row r="39" spans="3:62" x14ac:dyDescent="0.3">
      <c r="C39" s="3"/>
      <c r="D39" s="3"/>
      <c r="E39" s="3"/>
      <c r="F39" s="3"/>
      <c r="G39" s="3"/>
      <c r="H39" s="3"/>
      <c r="I39" s="3"/>
      <c r="J39" s="3"/>
      <c r="K39" s="3"/>
      <c r="L39" s="3"/>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row>
    <row r="40" spans="3:62" x14ac:dyDescent="0.3">
      <c r="C40" s="3"/>
      <c r="D40" s="3"/>
      <c r="E40" s="3"/>
      <c r="F40" s="3"/>
      <c r="G40" s="3"/>
      <c r="H40" s="3"/>
      <c r="I40" s="3"/>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3"/>
      <c r="BE40" s="3"/>
      <c r="BF40" s="3"/>
      <c r="BG40" s="3"/>
      <c r="BH40" s="3"/>
      <c r="BI40" s="3"/>
      <c r="BJ40" s="3"/>
    </row>
    <row r="41" spans="3:62" x14ac:dyDescent="0.3">
      <c r="C41" s="3"/>
      <c r="D41" s="3"/>
      <c r="E41" s="3"/>
      <c r="F41" s="3"/>
      <c r="G41" s="3"/>
      <c r="H41" s="3"/>
      <c r="I41" s="3"/>
      <c r="J41" s="3"/>
      <c r="K41" s="3"/>
      <c r="L41" s="3"/>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row>
    <row r="42" spans="3:62" x14ac:dyDescent="0.3">
      <c r="C42" s="3"/>
      <c r="D42" s="3"/>
      <c r="E42" s="3"/>
      <c r="F42" s="3"/>
      <c r="G42" s="3"/>
      <c r="H42" s="3"/>
      <c r="I42" s="3"/>
      <c r="J42" s="3"/>
      <c r="K42" s="3"/>
      <c r="L42" s="3"/>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row>
    <row r="43" spans="3:62" x14ac:dyDescent="0.3">
      <c r="C43" s="3"/>
      <c r="D43" s="3"/>
      <c r="E43" s="3"/>
      <c r="F43" s="3"/>
      <c r="G43" s="3"/>
      <c r="H43" s="3"/>
      <c r="I43" s="3"/>
      <c r="J43" s="3"/>
      <c r="K43" s="3"/>
      <c r="L43" s="3"/>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row>
    <row r="44" spans="3:62" x14ac:dyDescent="0.3">
      <c r="C44" s="3"/>
      <c r="D44" s="3"/>
      <c r="E44" s="3"/>
      <c r="F44" s="3"/>
      <c r="G44" s="3"/>
      <c r="H44" s="3"/>
      <c r="I44" s="3"/>
      <c r="J44" s="3"/>
      <c r="K44" s="3"/>
      <c r="L44" s="3"/>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row>
    <row r="45" spans="3:62" x14ac:dyDescent="0.3">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row>
    <row r="46" spans="3:62" x14ac:dyDescent="0.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row>
    <row r="47" spans="3:62" x14ac:dyDescent="0.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row>
    <row r="48" spans="3:62" x14ac:dyDescent="0.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row>
    <row r="49" spans="3:62" x14ac:dyDescent="0.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c r="BA49" s="3"/>
      <c r="BB49" s="3"/>
      <c r="BC49" s="3"/>
      <c r="BD49" s="3"/>
      <c r="BE49" s="3"/>
      <c r="BF49" s="3"/>
      <c r="BG49" s="3"/>
      <c r="BH49" s="3"/>
      <c r="BI49" s="3"/>
      <c r="BJ49" s="3"/>
    </row>
    <row r="50" spans="3:62" x14ac:dyDescent="0.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row>
    <row r="51" spans="3:62" x14ac:dyDescent="0.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row>
    <row r="52" spans="3:62" x14ac:dyDescent="0.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row>
    <row r="53" spans="3:62" x14ac:dyDescent="0.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row>
    <row r="54" spans="3:62" x14ac:dyDescent="0.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row>
    <row r="55" spans="3:62" x14ac:dyDescent="0.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row>
    <row r="56" spans="3:62" x14ac:dyDescent="0.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row>
    <row r="57" spans="3:62" x14ac:dyDescent="0.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row>
    <row r="58" spans="3:62" x14ac:dyDescent="0.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row>
    <row r="59" spans="3:62" x14ac:dyDescent="0.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row>
    <row r="60" spans="3:62" x14ac:dyDescent="0.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row>
    <row r="61" spans="3:62" x14ac:dyDescent="0.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row>
    <row r="62" spans="3:62" x14ac:dyDescent="0.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row>
    <row r="63" spans="3:62" x14ac:dyDescent="0.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row>
    <row r="64" spans="3:62" x14ac:dyDescent="0.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row>
    <row r="65" spans="3:62" x14ac:dyDescent="0.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row>
    <row r="66" spans="3:62" x14ac:dyDescent="0.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row>
    <row r="67" spans="3:62" x14ac:dyDescent="0.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row>
    <row r="68" spans="3:62" x14ac:dyDescent="0.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row>
    <row r="69" spans="3:62" x14ac:dyDescent="0.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row>
    <row r="70" spans="3:62" x14ac:dyDescent="0.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row>
    <row r="71" spans="3:62" x14ac:dyDescent="0.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row>
    <row r="72" spans="3:62" x14ac:dyDescent="0.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row>
    <row r="73" spans="3:62" x14ac:dyDescent="0.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row>
    <row r="74" spans="3:62" x14ac:dyDescent="0.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row>
    <row r="75" spans="3:62" x14ac:dyDescent="0.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row>
    <row r="76" spans="3:62" x14ac:dyDescent="0.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row>
    <row r="77" spans="3:62" x14ac:dyDescent="0.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row>
    <row r="78" spans="3:62" x14ac:dyDescent="0.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row>
    <row r="79" spans="3:62" x14ac:dyDescent="0.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row>
    <row r="80" spans="3:62" x14ac:dyDescent="0.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row>
    <row r="81" spans="3:62" x14ac:dyDescent="0.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row>
    <row r="82" spans="3:62" x14ac:dyDescent="0.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row>
    <row r="83" spans="3:62" x14ac:dyDescent="0.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row>
    <row r="84" spans="3:62" x14ac:dyDescent="0.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row>
    <row r="85" spans="3:62" x14ac:dyDescent="0.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row>
    <row r="86" spans="3:62" x14ac:dyDescent="0.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row>
    <row r="87" spans="3:62" x14ac:dyDescent="0.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row>
    <row r="88" spans="3:62" x14ac:dyDescent="0.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row>
    <row r="89" spans="3:62" x14ac:dyDescent="0.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row>
    <row r="90" spans="3:62" x14ac:dyDescent="0.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row>
    <row r="91" spans="3:62" x14ac:dyDescent="0.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row>
    <row r="92" spans="3:62" x14ac:dyDescent="0.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row>
    <row r="93" spans="3:62" x14ac:dyDescent="0.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row>
    <row r="94" spans="3:62" x14ac:dyDescent="0.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row>
    <row r="95" spans="3:62" x14ac:dyDescent="0.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row>
    <row r="96" spans="3:62" x14ac:dyDescent="0.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row>
    <row r="97" spans="3:62" x14ac:dyDescent="0.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row>
    <row r="98" spans="3:62" x14ac:dyDescent="0.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row>
    <row r="99" spans="3:62" x14ac:dyDescent="0.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row>
    <row r="100" spans="3:62" x14ac:dyDescent="0.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row>
    <row r="101" spans="3:62" x14ac:dyDescent="0.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row>
    <row r="102" spans="3:62" x14ac:dyDescent="0.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row>
    <row r="103" spans="3:62" x14ac:dyDescent="0.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row>
    <row r="104" spans="3:62" x14ac:dyDescent="0.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row>
    <row r="105" spans="3:62" x14ac:dyDescent="0.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row>
    <row r="106" spans="3:62" x14ac:dyDescent="0.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row>
    <row r="107" spans="3:62" x14ac:dyDescent="0.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row>
    <row r="108" spans="3:62" x14ac:dyDescent="0.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row>
    <row r="109" spans="3:62" x14ac:dyDescent="0.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row>
    <row r="110" spans="3:62" x14ac:dyDescent="0.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row>
    <row r="111" spans="3:62" x14ac:dyDescent="0.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row>
    <row r="112" spans="3:62" x14ac:dyDescent="0.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row>
    <row r="113" spans="3:62" x14ac:dyDescent="0.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row>
    <row r="114" spans="3:62" x14ac:dyDescent="0.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row>
    <row r="115" spans="3:62" x14ac:dyDescent="0.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row>
    <row r="116" spans="3:62" x14ac:dyDescent="0.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row>
    <row r="117" spans="3:62" x14ac:dyDescent="0.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row>
    <row r="118" spans="3:62" x14ac:dyDescent="0.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row>
    <row r="119" spans="3:62" x14ac:dyDescent="0.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row>
    <row r="120" spans="3:62" x14ac:dyDescent="0.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row>
    <row r="121" spans="3:62" x14ac:dyDescent="0.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row>
    <row r="122" spans="3:62" x14ac:dyDescent="0.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row>
    <row r="123" spans="3:62" x14ac:dyDescent="0.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row>
    <row r="124" spans="3:62" x14ac:dyDescent="0.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row>
    <row r="125" spans="3:62" x14ac:dyDescent="0.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row>
    <row r="126" spans="3:62" x14ac:dyDescent="0.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row>
    <row r="127" spans="3:62" x14ac:dyDescent="0.3">
      <c r="C127" s="3"/>
      <c r="D127" s="3"/>
      <c r="E127" s="3"/>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row>
    <row r="128" spans="3:62" x14ac:dyDescent="0.3">
      <c r="C128" s="3"/>
      <c r="D128" s="3"/>
      <c r="E128" s="3"/>
      <c r="F128" s="3"/>
      <c r="G128" s="3"/>
      <c r="H128" s="3"/>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row>
    <row r="129" spans="3:62" x14ac:dyDescent="0.3">
      <c r="C129" s="3"/>
      <c r="D129" s="3"/>
      <c r="E129" s="3"/>
      <c r="F129" s="3"/>
      <c r="G129" s="3"/>
      <c r="H129" s="3"/>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row>
    <row r="130" spans="3:62" x14ac:dyDescent="0.3">
      <c r="C130" s="3"/>
      <c r="D130" s="3"/>
      <c r="E130" s="3"/>
      <c r="F130" s="3"/>
      <c r="G130" s="3"/>
      <c r="H130" s="3"/>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row>
    <row r="131" spans="3:62" x14ac:dyDescent="0.3">
      <c r="C131" s="3"/>
      <c r="D131" s="3"/>
      <c r="E131" s="3"/>
      <c r="F131" s="3"/>
      <c r="G131" s="3"/>
      <c r="H131" s="3"/>
      <c r="I131" s="3"/>
      <c r="J131" s="3"/>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row>
    <row r="132" spans="3:62" x14ac:dyDescent="0.3">
      <c r="C132" s="3"/>
      <c r="D132" s="3"/>
      <c r="E132" s="3"/>
      <c r="F132" s="3"/>
      <c r="G132" s="3"/>
      <c r="H132" s="3"/>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row>
    <row r="133" spans="3:62" x14ac:dyDescent="0.3">
      <c r="C133" s="3"/>
      <c r="D133" s="3"/>
      <c r="E133" s="3"/>
      <c r="F133" s="3"/>
      <c r="G133" s="3"/>
      <c r="H133" s="3"/>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row>
    <row r="134" spans="3:62" x14ac:dyDescent="0.3">
      <c r="C134" s="3"/>
      <c r="D134" s="3"/>
      <c r="E134" s="3"/>
      <c r="F134" s="3"/>
      <c r="G134" s="3"/>
      <c r="H134" s="3"/>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row>
    <row r="135" spans="3:62" x14ac:dyDescent="0.3">
      <c r="C135" s="3"/>
      <c r="D135" s="3"/>
      <c r="E135" s="3"/>
      <c r="F135" s="3"/>
      <c r="G135" s="3"/>
      <c r="H135" s="3"/>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row>
    <row r="136" spans="3:62" x14ac:dyDescent="0.3">
      <c r="C136" s="3"/>
      <c r="D136" s="3"/>
      <c r="E136" s="3"/>
      <c r="F136" s="3"/>
      <c r="G136" s="3"/>
      <c r="H136" s="3"/>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row>
    <row r="137" spans="3:62" x14ac:dyDescent="0.3">
      <c r="C137" s="3"/>
      <c r="D137" s="3"/>
      <c r="E137" s="3"/>
      <c r="F137" s="3"/>
      <c r="G137" s="3"/>
      <c r="H137" s="3"/>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row>
    <row r="138" spans="3:62" x14ac:dyDescent="0.3">
      <c r="C138" s="3"/>
      <c r="D138" s="3"/>
      <c r="E138" s="3"/>
      <c r="F138" s="3"/>
      <c r="G138" s="3"/>
      <c r="H138" s="3"/>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row>
    <row r="139" spans="3:62" x14ac:dyDescent="0.3">
      <c r="C139" s="3"/>
      <c r="D139" s="3"/>
      <c r="E139" s="3"/>
      <c r="F139" s="3"/>
      <c r="G139" s="3"/>
      <c r="H139" s="3"/>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row>
    <row r="140" spans="3:62" x14ac:dyDescent="0.3">
      <c r="C140" s="3"/>
      <c r="D140" s="3"/>
      <c r="E140" s="3"/>
      <c r="F140" s="3"/>
      <c r="G140" s="3"/>
      <c r="H140" s="3"/>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row>
    <row r="141" spans="3:62" x14ac:dyDescent="0.3">
      <c r="C141" s="3"/>
      <c r="D141" s="3"/>
      <c r="E141" s="3"/>
      <c r="F141" s="3"/>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row>
    <row r="142" spans="3:62" x14ac:dyDescent="0.3">
      <c r="C142" s="3"/>
      <c r="D142" s="3"/>
      <c r="E142" s="3"/>
      <c r="F142" s="3"/>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row>
    <row r="143" spans="3:62" x14ac:dyDescent="0.3">
      <c r="C143" s="3"/>
      <c r="D143" s="3"/>
      <c r="E143" s="3"/>
      <c r="F143" s="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row>
    <row r="144" spans="3:62" x14ac:dyDescent="0.3">
      <c r="C144" s="3"/>
      <c r="D144" s="3"/>
      <c r="E144" s="3"/>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row>
    <row r="145" spans="3:62" x14ac:dyDescent="0.3">
      <c r="C145" s="3"/>
      <c r="D145" s="3"/>
      <c r="E145" s="3"/>
      <c r="F145" s="3"/>
      <c r="G145" s="3"/>
      <c r="H145" s="3"/>
      <c r="I145" s="3"/>
      <c r="J145" s="3"/>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row>
    <row r="146" spans="3:62" x14ac:dyDescent="0.3">
      <c r="C146" s="3"/>
      <c r="D146" s="3"/>
      <c r="E146" s="3"/>
      <c r="F146" s="3"/>
      <c r="G146" s="3"/>
      <c r="H146" s="3"/>
      <c r="I146" s="3"/>
      <c r="J146" s="3"/>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row>
    <row r="147" spans="3:62" x14ac:dyDescent="0.3">
      <c r="C147" s="3"/>
      <c r="D147" s="3"/>
      <c r="E147" s="3"/>
      <c r="F147" s="3"/>
      <c r="G147" s="3"/>
      <c r="H147" s="3"/>
      <c r="I147" s="3"/>
      <c r="J147" s="3"/>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row>
    <row r="148" spans="3:62" x14ac:dyDescent="0.3">
      <c r="C148" s="3"/>
      <c r="D148" s="3"/>
      <c r="E148" s="3"/>
      <c r="F148" s="3"/>
      <c r="G148" s="3"/>
      <c r="H148" s="3"/>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row>
    <row r="149" spans="3:62" x14ac:dyDescent="0.3">
      <c r="C149" s="3"/>
      <c r="D149" s="3"/>
      <c r="E149" s="3"/>
      <c r="F149" s="3"/>
      <c r="G149" s="3"/>
      <c r="H149" s="3"/>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row>
    <row r="150" spans="3:62" x14ac:dyDescent="0.3">
      <c r="C150" s="3"/>
      <c r="D150" s="3"/>
      <c r="E150" s="3"/>
      <c r="F150" s="3"/>
      <c r="G150" s="3"/>
      <c r="H150" s="3"/>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row>
    <row r="151" spans="3:62" x14ac:dyDescent="0.3">
      <c r="C151" s="3"/>
      <c r="D151" s="3"/>
      <c r="E151" s="3"/>
      <c r="F151" s="3"/>
      <c r="G151" s="3"/>
      <c r="H151" s="3"/>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row>
    <row r="152" spans="3:62" x14ac:dyDescent="0.3">
      <c r="C152" s="3"/>
      <c r="D152" s="3"/>
      <c r="E152" s="3"/>
      <c r="F152" s="3"/>
      <c r="G152" s="3"/>
      <c r="H152" s="3"/>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row>
    <row r="153" spans="3:62" x14ac:dyDescent="0.3">
      <c r="C153" s="3"/>
      <c r="D153" s="3"/>
      <c r="E153" s="3"/>
      <c r="F153" s="3"/>
      <c r="G153" s="3"/>
      <c r="H153" s="3"/>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row>
    <row r="154" spans="3:62" x14ac:dyDescent="0.3">
      <c r="C154" s="3"/>
      <c r="D154" s="3"/>
      <c r="E154" s="3"/>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row>
    <row r="155" spans="3:62" x14ac:dyDescent="0.3">
      <c r="C155" s="3"/>
      <c r="D155" s="3"/>
      <c r="E155" s="3"/>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row>
    <row r="156" spans="3:62" x14ac:dyDescent="0.3">
      <c r="C156" s="3"/>
      <c r="D156" s="3"/>
      <c r="E156" s="3"/>
      <c r="F156" s="3"/>
      <c r="G156" s="3"/>
      <c r="H156" s="3"/>
      <c r="I156" s="3"/>
      <c r="J156" s="3"/>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row>
    <row r="157" spans="3:62" x14ac:dyDescent="0.3">
      <c r="C157" s="3"/>
      <c r="D157" s="3"/>
      <c r="E157" s="3"/>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row>
    <row r="158" spans="3:62" x14ac:dyDescent="0.3">
      <c r="C158" s="3"/>
      <c r="D158" s="3"/>
      <c r="E158" s="3"/>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row>
    <row r="159" spans="3:62" x14ac:dyDescent="0.3">
      <c r="C159" s="3"/>
      <c r="D159" s="3"/>
      <c r="E159" s="3"/>
      <c r="F159" s="3"/>
      <c r="G159" s="3"/>
      <c r="H159" s="3"/>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row>
    <row r="160" spans="3:62" x14ac:dyDescent="0.3">
      <c r="C160" s="3"/>
      <c r="D160" s="3"/>
      <c r="E160" s="3"/>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row>
    <row r="161" spans="3:62" x14ac:dyDescent="0.3">
      <c r="C161" s="3"/>
      <c r="D161" s="3"/>
      <c r="E161" s="3"/>
      <c r="F161" s="3"/>
      <c r="G161" s="3"/>
      <c r="H161" s="3"/>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row>
    <row r="162" spans="3:62" x14ac:dyDescent="0.3">
      <c r="C162" s="3"/>
      <c r="D162" s="3"/>
      <c r="E162" s="3"/>
      <c r="F162" s="3"/>
      <c r="G162" s="3"/>
      <c r="H162" s="3"/>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row>
    <row r="163" spans="3:62" x14ac:dyDescent="0.3">
      <c r="C163" s="3"/>
      <c r="D163" s="3"/>
      <c r="E163" s="3"/>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row>
    <row r="164" spans="3:62" x14ac:dyDescent="0.3">
      <c r="C164" s="3"/>
      <c r="D164" s="3"/>
      <c r="E164" s="3"/>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row>
    <row r="165" spans="3:62" x14ac:dyDescent="0.3">
      <c r="C165" s="3"/>
      <c r="D165" s="3"/>
      <c r="E165" s="3"/>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row>
    <row r="166" spans="3:62" x14ac:dyDescent="0.3">
      <c r="C166" s="3"/>
      <c r="D166" s="3"/>
      <c r="E166" s="3"/>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row>
    <row r="167" spans="3:62" x14ac:dyDescent="0.3">
      <c r="C167" s="3"/>
      <c r="D167" s="3"/>
      <c r="E167" s="3"/>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row>
    <row r="168" spans="3:62" x14ac:dyDescent="0.3">
      <c r="C168" s="3"/>
      <c r="D168" s="3"/>
      <c r="E168" s="3"/>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row>
    <row r="169" spans="3:62" x14ac:dyDescent="0.3">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row>
    <row r="170" spans="3:62" x14ac:dyDescent="0.3">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row>
    <row r="171" spans="3:62" x14ac:dyDescent="0.3">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row>
    <row r="172" spans="3:62" x14ac:dyDescent="0.3">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row>
    <row r="173" spans="3:62" x14ac:dyDescent="0.3">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row>
    <row r="174" spans="3:62" x14ac:dyDescent="0.3">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row>
    <row r="175" spans="3:62" x14ac:dyDescent="0.3">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row>
    <row r="176" spans="3:62" x14ac:dyDescent="0.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row>
    <row r="177" spans="3:62" x14ac:dyDescent="0.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row>
    <row r="178" spans="3:62" x14ac:dyDescent="0.3">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row>
    <row r="179" spans="3:62" x14ac:dyDescent="0.3">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row>
    <row r="180" spans="3:62" x14ac:dyDescent="0.3">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row>
    <row r="181" spans="3:62" x14ac:dyDescent="0.3">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row>
    <row r="182" spans="3:62" x14ac:dyDescent="0.3">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row>
    <row r="183" spans="3:62" x14ac:dyDescent="0.3">
      <c r="C183" s="3"/>
      <c r="D183" s="3"/>
      <c r="E183" s="3"/>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row>
    <row r="184" spans="3:62" x14ac:dyDescent="0.3">
      <c r="C184" s="3"/>
      <c r="D184" s="3"/>
      <c r="E184" s="3"/>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row>
    <row r="185" spans="3:62" x14ac:dyDescent="0.3">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row>
    <row r="186" spans="3:62" x14ac:dyDescent="0.3">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row>
    <row r="187" spans="3:62" x14ac:dyDescent="0.3">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row>
    <row r="188" spans="3:62" x14ac:dyDescent="0.3">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row>
    <row r="189" spans="3:62" x14ac:dyDescent="0.3">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row>
    <row r="190" spans="3:62" x14ac:dyDescent="0.3">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row>
    <row r="191" spans="3:62" x14ac:dyDescent="0.3">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row>
    <row r="192" spans="3:62" x14ac:dyDescent="0.3">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row>
    <row r="193" spans="3:62" x14ac:dyDescent="0.3">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row>
    <row r="194" spans="3:62" x14ac:dyDescent="0.3">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row>
    <row r="195" spans="3:62" x14ac:dyDescent="0.3">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row>
    <row r="196" spans="3:62" x14ac:dyDescent="0.3">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row>
    <row r="197" spans="3:62" x14ac:dyDescent="0.3">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row>
    <row r="198" spans="3:62" x14ac:dyDescent="0.3">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row>
    <row r="199" spans="3:62" x14ac:dyDescent="0.3">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row>
    <row r="200" spans="3:62" x14ac:dyDescent="0.3">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row>
    <row r="201" spans="3:62" x14ac:dyDescent="0.3">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row>
    <row r="202" spans="3:62" x14ac:dyDescent="0.3">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row>
    <row r="203" spans="3:62" hidden="1" x14ac:dyDescent="0.3"/>
  </sheetData>
  <mergeCells count="2">
    <mergeCell ref="C1:M1"/>
    <mergeCell ref="N1:T1"/>
  </mergeCells>
  <conditionalFormatting sqref="C2:BJ2">
    <cfRule type="expression" dxfId="0" priority="1">
      <formula>AND(C$2&lt;&gt;"",WEEKDAY(C$2,2)&gt;5)</formula>
    </cfRule>
  </conditionalFormatting>
  <dataValidations count="3">
    <dataValidation type="date" allowBlank="1" showInputMessage="1" showErrorMessage="1" errorTitle="Erorr in the Date Entry" error="Only a valid date between 1-Jan-2015 to 31-Dec-9999 is permitted" promptTitle="Date Entry" prompt="Enter a valid date between 1-Jan-2015 to 31-Dec-9999." sqref="C2:BJ2" xr:uid="{00000000-0002-0000-0100-000000000000}">
      <formula1>42005</formula1>
      <formula2>2958465</formula2>
    </dataValidation>
    <dataValidation type="decimal" operator="greaterThanOrEqual" allowBlank="1" showInputMessage="1" showErrorMessage="1" errorTitle="Entry Error" error="Planned Effort Should be &gt;=0" sqref="B3:B202 C3:L14" xr:uid="{00000000-0002-0000-0100-000001000000}">
      <formula1>0</formula1>
    </dataValidation>
    <dataValidation type="custom" showInputMessage="1" showErrorMessage="1" errorTitle="Input Error" error="Read the Validations Rules to Input Right Data" sqref="M3:BJ202 C15:L202" xr:uid="{00000000-0002-0000-0100-000002000000}">
      <formula1>AND(C3&lt;=B3,C3&gt;=0)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learPreviousData">
                <anchor moveWithCells="1" sizeWithCells="1">
                  <from>
                    <xdr:col>0</xdr:col>
                    <xdr:colOff>76200</xdr:colOff>
                    <xdr:row>0</xdr:row>
                    <xdr:rowOff>121920</xdr:rowOff>
                  </from>
                  <to>
                    <xdr:col>1</xdr:col>
                    <xdr:colOff>838200</xdr:colOff>
                    <xdr:row>0</xdr:row>
                    <xdr:rowOff>495300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J14"/>
  <sheetViews>
    <sheetView workbookViewId="0">
      <selection activeCell="A2" sqref="A2"/>
    </sheetView>
  </sheetViews>
  <sheetFormatPr defaultColWidth="0" defaultRowHeight="14.4" x14ac:dyDescent="0.3"/>
  <cols>
    <col min="1" max="1" width="16" style="1" bestFit="1" customWidth="1"/>
    <col min="2" max="2" width="9.44140625" style="2" customWidth="1"/>
    <col min="3" max="62" width="9.109375" customWidth="1"/>
    <col min="63" max="16384" width="9.109375" hidden="1"/>
  </cols>
  <sheetData>
    <row r="1" spans="1:62" s="1" customFormat="1" x14ac:dyDescent="0.3">
      <c r="A1" s="1" t="s">
        <v>1</v>
      </c>
      <c r="B1" s="1" t="s">
        <v>3</v>
      </c>
      <c r="C1" s="8">
        <f>IF(Input!C$2="","",Input!C$2)</f>
        <v>43844</v>
      </c>
      <c r="D1" s="8">
        <f>IF(Input!D$2="","",Input!D$2)</f>
        <v>43845</v>
      </c>
      <c r="E1" s="8">
        <f>IF(Input!E$2="","",Input!E$2)</f>
        <v>43846</v>
      </c>
      <c r="F1" s="8">
        <f>IF(Input!F$2="","",Input!F$2)</f>
        <v>43847</v>
      </c>
      <c r="G1" s="8">
        <f>IF(Input!G$2="","",Input!G$2)</f>
        <v>43848</v>
      </c>
      <c r="H1" s="8">
        <f>IF(Input!H$2="","",Input!H$2)</f>
        <v>43849</v>
      </c>
      <c r="I1" s="8">
        <f>IF(Input!I$2="","",Input!I$2)</f>
        <v>43850</v>
      </c>
      <c r="J1" s="8">
        <f>IF(Input!J$2="","",Input!J$2)</f>
        <v>43851</v>
      </c>
      <c r="K1" s="8">
        <f>IF(Input!K$2="","",Input!K$2)</f>
        <v>43852</v>
      </c>
      <c r="L1" s="8">
        <f>IF(Input!L$2="","",Input!L$2)</f>
        <v>43853</v>
      </c>
      <c r="M1" s="8" t="str">
        <f>IF(Input!M$2="","",Input!M$2)</f>
        <v/>
      </c>
      <c r="N1" s="8" t="str">
        <f>IF(Input!N$2="","",Input!N$2)</f>
        <v/>
      </c>
      <c r="O1" s="8" t="str">
        <f>IF(Input!O$2="","",Input!O$2)</f>
        <v/>
      </c>
      <c r="P1" s="8" t="str">
        <f>IF(Input!P$2="","",Input!P$2)</f>
        <v/>
      </c>
      <c r="Q1" s="8" t="str">
        <f>IF(Input!Q$2="","",Input!Q$2)</f>
        <v/>
      </c>
      <c r="R1" s="8" t="str">
        <f>IF(Input!R$2="","",Input!R$2)</f>
        <v/>
      </c>
      <c r="S1" s="8" t="str">
        <f>IF(Input!S$2="","",Input!S$2)</f>
        <v/>
      </c>
      <c r="T1" s="8" t="str">
        <f>IF(Input!T$2="","",Input!T$2)</f>
        <v/>
      </c>
      <c r="U1" s="8" t="str">
        <f>IF(Input!U$2="","",Input!U$2)</f>
        <v/>
      </c>
      <c r="V1" s="8" t="str">
        <f>IF(Input!V$2="","",Input!V$2)</f>
        <v/>
      </c>
      <c r="W1" s="8" t="str">
        <f>IF(Input!W$2="","",Input!W$2)</f>
        <v/>
      </c>
      <c r="X1" s="8" t="str">
        <f>IF(Input!X$2="","",Input!X$2)</f>
        <v/>
      </c>
      <c r="Y1" s="8" t="str">
        <f>IF(Input!Y$2="","",Input!Y$2)</f>
        <v/>
      </c>
      <c r="Z1" s="8" t="str">
        <f>IF(Input!Z$2="","",Input!Z$2)</f>
        <v/>
      </c>
      <c r="AA1" s="8" t="str">
        <f>IF(Input!AA$2="","",Input!AA$2)</f>
        <v/>
      </c>
      <c r="AB1" s="8" t="str">
        <f>IF(Input!AB$2="","",Input!AB$2)</f>
        <v/>
      </c>
      <c r="AC1" s="8" t="str">
        <f>IF(Input!AC$2="","",Input!AC$2)</f>
        <v/>
      </c>
      <c r="AD1" s="8" t="str">
        <f>IF(Input!AD$2="","",Input!AD$2)</f>
        <v/>
      </c>
      <c r="AE1" s="8" t="str">
        <f>IF(Input!AE$2="","",Input!AE$2)</f>
        <v/>
      </c>
      <c r="AF1" s="8" t="str">
        <f>IF(Input!AF$2="","",Input!AF$2)</f>
        <v/>
      </c>
      <c r="AG1" s="8" t="str">
        <f>IF(Input!AG$2="","",Input!AG$2)</f>
        <v/>
      </c>
      <c r="AH1" s="8" t="str">
        <f>IF(Input!AH$2="","",Input!AH$2)</f>
        <v/>
      </c>
      <c r="AI1" s="8" t="str">
        <f>IF(Input!AI$2="","",Input!AI$2)</f>
        <v/>
      </c>
      <c r="AJ1" s="8" t="str">
        <f>IF(Input!AJ$2="","",Input!AJ$2)</f>
        <v/>
      </c>
      <c r="AK1" s="8" t="str">
        <f>IF(Input!AK$2="","",Input!AK$2)</f>
        <v/>
      </c>
      <c r="AL1" s="8" t="str">
        <f>IF(Input!AL$2="","",Input!AL$2)</f>
        <v/>
      </c>
      <c r="AM1" s="8" t="str">
        <f>IF(Input!AM$2="","",Input!AM$2)</f>
        <v/>
      </c>
      <c r="AN1" s="8" t="str">
        <f>IF(Input!AN$2="","",Input!AN$2)</f>
        <v/>
      </c>
      <c r="AO1" s="8" t="str">
        <f>IF(Input!AO$2="","",Input!AO$2)</f>
        <v/>
      </c>
      <c r="AP1" s="8" t="str">
        <f>IF(Input!AP$2="","",Input!AP$2)</f>
        <v/>
      </c>
      <c r="AQ1" s="8" t="str">
        <f>IF(Input!AQ$2="","",Input!AQ$2)</f>
        <v/>
      </c>
      <c r="AR1" s="8" t="str">
        <f>IF(Input!AR$2="","",Input!AR$2)</f>
        <v/>
      </c>
      <c r="AS1" s="8" t="str">
        <f>IF(Input!AS$2="","",Input!AS$2)</f>
        <v/>
      </c>
      <c r="AT1" s="8" t="str">
        <f>IF(Input!AT$2="","",Input!AT$2)</f>
        <v/>
      </c>
      <c r="AU1" s="8" t="str">
        <f>IF(Input!AU$2="","",Input!AU$2)</f>
        <v/>
      </c>
      <c r="AV1" s="8" t="str">
        <f>IF(Input!AV$2="","",Input!AV$2)</f>
        <v/>
      </c>
      <c r="AW1" s="8" t="str">
        <f>IF(Input!AW$2="","",Input!AW$2)</f>
        <v/>
      </c>
      <c r="AX1" s="8" t="str">
        <f>IF(Input!AX$2="","",Input!AX$2)</f>
        <v/>
      </c>
      <c r="AY1" s="8" t="str">
        <f>IF(Input!AY$2="","",Input!AY$2)</f>
        <v/>
      </c>
      <c r="AZ1" s="8" t="str">
        <f>IF(Input!AZ$2="","",Input!AZ$2)</f>
        <v/>
      </c>
      <c r="BA1" s="8" t="str">
        <f>IF(Input!BA$2="","",Input!BA$2)</f>
        <v/>
      </c>
      <c r="BB1" s="8" t="str">
        <f>IF(Input!BB$2="","",Input!BB$2)</f>
        <v/>
      </c>
      <c r="BC1" s="8" t="str">
        <f>IF(Input!BC$2="","",Input!BC$2)</f>
        <v/>
      </c>
      <c r="BD1" s="8" t="str">
        <f>IF(Input!BD$2="","",Input!BD$2)</f>
        <v/>
      </c>
      <c r="BE1" s="8" t="str">
        <f>IF(Input!BE$2="","",Input!BE$2)</f>
        <v/>
      </c>
      <c r="BF1" s="8" t="str">
        <f>IF(Input!BF$2="","",Input!BF$2)</f>
        <v/>
      </c>
      <c r="BG1" s="8" t="str">
        <f>IF(Input!BG$2="","",Input!BG$2)</f>
        <v/>
      </c>
      <c r="BH1" s="8" t="str">
        <f>IF(Input!BH$2="","",Input!BH$2)</f>
        <v/>
      </c>
      <c r="BI1" s="8" t="str">
        <f>IF(Input!BI$2="","",Input!BI$2)</f>
        <v/>
      </c>
      <c r="BJ1" s="8" t="str">
        <f>IF(Input!BJ$2="","",Input!BJ$2)</f>
        <v/>
      </c>
    </row>
    <row r="2" spans="1:62" s="4" customFormat="1" x14ac:dyDescent="0.3">
      <c r="A2" s="6" t="str">
        <f>IF('Burndown Chart'!$L$2="","Planned Effort",'Burndown Chart'!$L$2)</f>
        <v>Planned Effort</v>
      </c>
      <c r="B2" s="7">
        <f>SUM(Input!$B$3:$B$202)</f>
        <v>134</v>
      </c>
      <c r="C2" s="4">
        <f t="shared" ref="C2:AH2" si="0">IF(C$1="","",B$2-$B$2/(SUMPRODUCT(--($C$1:$BJ$1&lt;&gt;""))))</f>
        <v>120.6</v>
      </c>
      <c r="D2" s="4">
        <f t="shared" si="0"/>
        <v>107.19999999999999</v>
      </c>
      <c r="E2" s="4">
        <f t="shared" si="0"/>
        <v>93.799999999999983</v>
      </c>
      <c r="F2" s="4">
        <f t="shared" si="0"/>
        <v>80.399999999999977</v>
      </c>
      <c r="G2" s="4">
        <f t="shared" si="0"/>
        <v>66.999999999999972</v>
      </c>
      <c r="H2" s="4">
        <f t="shared" si="0"/>
        <v>53.599999999999973</v>
      </c>
      <c r="I2" s="4">
        <f t="shared" si="0"/>
        <v>40.199999999999974</v>
      </c>
      <c r="J2" s="4">
        <f t="shared" si="0"/>
        <v>26.799999999999976</v>
      </c>
      <c r="K2" s="4">
        <f t="shared" si="0"/>
        <v>13.399999999999975</v>
      </c>
      <c r="L2" s="4">
        <f t="shared" si="0"/>
        <v>-2.4868995751603507E-14</v>
      </c>
      <c r="M2" s="4" t="str">
        <f t="shared" si="0"/>
        <v/>
      </c>
      <c r="N2" s="4" t="str">
        <f t="shared" si="0"/>
        <v/>
      </c>
      <c r="O2" s="4" t="str">
        <f t="shared" si="0"/>
        <v/>
      </c>
      <c r="P2" s="4" t="str">
        <f t="shared" si="0"/>
        <v/>
      </c>
      <c r="Q2" s="4" t="str">
        <f t="shared" si="0"/>
        <v/>
      </c>
      <c r="R2" s="4" t="str">
        <f t="shared" si="0"/>
        <v/>
      </c>
      <c r="S2" s="4" t="str">
        <f t="shared" si="0"/>
        <v/>
      </c>
      <c r="T2" s="4" t="str">
        <f t="shared" si="0"/>
        <v/>
      </c>
      <c r="U2" s="4" t="str">
        <f t="shared" si="0"/>
        <v/>
      </c>
      <c r="V2" s="4" t="str">
        <f t="shared" si="0"/>
        <v/>
      </c>
      <c r="W2" s="4" t="str">
        <f t="shared" si="0"/>
        <v/>
      </c>
      <c r="X2" s="4" t="str">
        <f t="shared" si="0"/>
        <v/>
      </c>
      <c r="Y2" s="4" t="str">
        <f t="shared" si="0"/>
        <v/>
      </c>
      <c r="Z2" s="4" t="str">
        <f t="shared" si="0"/>
        <v/>
      </c>
      <c r="AA2" s="4" t="str">
        <f t="shared" si="0"/>
        <v/>
      </c>
      <c r="AB2" s="4" t="str">
        <f t="shared" si="0"/>
        <v/>
      </c>
      <c r="AC2" s="4" t="str">
        <f t="shared" si="0"/>
        <v/>
      </c>
      <c r="AD2" s="4" t="str">
        <f t="shared" si="0"/>
        <v/>
      </c>
      <c r="AE2" s="4" t="str">
        <f t="shared" si="0"/>
        <v/>
      </c>
      <c r="AF2" s="4" t="str">
        <f t="shared" si="0"/>
        <v/>
      </c>
      <c r="AG2" s="4" t="str">
        <f t="shared" si="0"/>
        <v/>
      </c>
      <c r="AH2" s="4" t="str">
        <f t="shared" si="0"/>
        <v/>
      </c>
      <c r="AI2" s="4" t="str">
        <f t="shared" ref="AI2:BJ2" si="1">IF(AI$1="","",AH$2-$B$2/(SUMPRODUCT(--($C$1:$BJ$1&lt;&gt;""))))</f>
        <v/>
      </c>
      <c r="AJ2" s="4" t="str">
        <f t="shared" si="1"/>
        <v/>
      </c>
      <c r="AK2" s="4" t="str">
        <f t="shared" si="1"/>
        <v/>
      </c>
      <c r="AL2" s="4" t="str">
        <f t="shared" si="1"/>
        <v/>
      </c>
      <c r="AM2" s="4" t="str">
        <f t="shared" si="1"/>
        <v/>
      </c>
      <c r="AN2" s="4" t="str">
        <f t="shared" si="1"/>
        <v/>
      </c>
      <c r="AO2" s="4" t="str">
        <f t="shared" si="1"/>
        <v/>
      </c>
      <c r="AP2" s="4" t="str">
        <f t="shared" si="1"/>
        <v/>
      </c>
      <c r="AQ2" s="4" t="str">
        <f t="shared" si="1"/>
        <v/>
      </c>
      <c r="AR2" s="4" t="str">
        <f t="shared" si="1"/>
        <v/>
      </c>
      <c r="AS2" s="4" t="str">
        <f t="shared" si="1"/>
        <v/>
      </c>
      <c r="AT2" s="4" t="str">
        <f t="shared" si="1"/>
        <v/>
      </c>
      <c r="AU2" s="4" t="str">
        <f t="shared" si="1"/>
        <v/>
      </c>
      <c r="AV2" s="4" t="str">
        <f t="shared" si="1"/>
        <v/>
      </c>
      <c r="AW2" s="4" t="str">
        <f t="shared" si="1"/>
        <v/>
      </c>
      <c r="AX2" s="4" t="str">
        <f t="shared" si="1"/>
        <v/>
      </c>
      <c r="AY2" s="4" t="str">
        <f t="shared" si="1"/>
        <v/>
      </c>
      <c r="AZ2" s="4" t="str">
        <f t="shared" si="1"/>
        <v/>
      </c>
      <c r="BA2" s="4" t="str">
        <f t="shared" si="1"/>
        <v/>
      </c>
      <c r="BB2" s="4" t="str">
        <f t="shared" si="1"/>
        <v/>
      </c>
      <c r="BC2" s="4" t="str">
        <f t="shared" si="1"/>
        <v/>
      </c>
      <c r="BD2" s="4" t="str">
        <f t="shared" si="1"/>
        <v/>
      </c>
      <c r="BE2" s="4" t="str">
        <f t="shared" si="1"/>
        <v/>
      </c>
      <c r="BF2" s="4" t="str">
        <f t="shared" si="1"/>
        <v/>
      </c>
      <c r="BG2" s="4" t="str">
        <f t="shared" si="1"/>
        <v/>
      </c>
      <c r="BH2" s="4" t="str">
        <f t="shared" si="1"/>
        <v/>
      </c>
      <c r="BI2" s="4" t="str">
        <f t="shared" si="1"/>
        <v/>
      </c>
      <c r="BJ2" s="4" t="str">
        <f t="shared" si="1"/>
        <v/>
      </c>
    </row>
    <row r="3" spans="1:62" s="4" customFormat="1" x14ac:dyDescent="0.3">
      <c r="A3" s="6" t="str">
        <f>IF('Burndown Chart'!$L$3="","Hours Remaining",'Burndown Chart'!$L$3)</f>
        <v>Hours Remaining</v>
      </c>
      <c r="B3" s="7">
        <f>SUM(Input!$B$3:$B$202)</f>
        <v>134</v>
      </c>
      <c r="C3" s="4">
        <f>IF(C$1="","",SUM(Input!C$3:C$202))</f>
        <v>107.5</v>
      </c>
      <c r="D3" s="4">
        <f>IF(D$1="","",SUM(Input!D$3:D$202))</f>
        <v>91</v>
      </c>
      <c r="E3" s="4">
        <f>IF(E$1="","",SUM(Input!E$3:E$202))</f>
        <v>92</v>
      </c>
      <c r="F3" s="4">
        <f>IF(F$1="","",SUM(Input!F$3:F$202))</f>
        <v>85</v>
      </c>
      <c r="G3" s="4">
        <f>IF(G$1="","",SUM(Input!G$3:G$202))</f>
        <v>85</v>
      </c>
      <c r="H3" s="4">
        <f>IF(H$1="","",SUM(Input!H$3:H$202))</f>
        <v>85</v>
      </c>
      <c r="I3" s="4">
        <f>IF(I$1="","",SUM(Input!I$3:I$202))</f>
        <v>62.5</v>
      </c>
      <c r="J3" s="4">
        <f>IF(J$1="","",SUM(Input!J$3:J$202))</f>
        <v>39.6</v>
      </c>
      <c r="K3" s="4">
        <f>IF(K$1="","",SUM(Input!K$3:K$202))</f>
        <v>24</v>
      </c>
      <c r="L3" s="4">
        <f>IF(L$1="","",SUM(Input!L$3:L$202))</f>
        <v>24</v>
      </c>
      <c r="M3" s="4" t="str">
        <f>IF(M$1="","",SUM(Input!M$3:M$202))</f>
        <v/>
      </c>
      <c r="N3" s="4" t="str">
        <f>IF(N$1="","",SUM(Input!N$3:N$202))</f>
        <v/>
      </c>
      <c r="O3" s="4" t="str">
        <f>IF(O$1="","",SUM(Input!O$3:O$202))</f>
        <v/>
      </c>
      <c r="P3" s="4" t="str">
        <f>IF(P$1="","",SUM(Input!P$3:P$202))</f>
        <v/>
      </c>
      <c r="Q3" s="4" t="str">
        <f>IF(Q$1="","",SUM(Input!Q$3:Q$202))</f>
        <v/>
      </c>
      <c r="R3" s="4" t="str">
        <f>IF(R$1="","",SUM(Input!R$3:R$202))</f>
        <v/>
      </c>
      <c r="S3" s="4" t="str">
        <f>IF(S$1="","",SUM(Input!S$3:S$202))</f>
        <v/>
      </c>
      <c r="T3" s="4" t="str">
        <f>IF(T$1="","",SUM(Input!T$3:T$202))</f>
        <v/>
      </c>
      <c r="U3" s="4" t="str">
        <f>IF(U$1="","",SUM(Input!U$3:U$202))</f>
        <v/>
      </c>
      <c r="V3" s="4" t="str">
        <f>IF(V$1="","",SUM(Input!V$3:V$202))</f>
        <v/>
      </c>
      <c r="W3" s="4" t="str">
        <f>IF(W$1="","",SUM(Input!W$3:W$202))</f>
        <v/>
      </c>
      <c r="X3" s="4" t="str">
        <f>IF(X$1="","",SUM(Input!X$3:X$202))</f>
        <v/>
      </c>
      <c r="Y3" s="4" t="str">
        <f>IF(Y$1="","",SUM(Input!Y$3:Y$202))</f>
        <v/>
      </c>
      <c r="Z3" s="4" t="str">
        <f>IF(Z$1="","",SUM(Input!Z$3:Z$202))</f>
        <v/>
      </c>
      <c r="AA3" s="4" t="str">
        <f>IF(AA$1="","",SUM(Input!AA$3:AA$202))</f>
        <v/>
      </c>
      <c r="AB3" s="4" t="str">
        <f>IF(AB$1="","",SUM(Input!AB$3:AB$202))</f>
        <v/>
      </c>
      <c r="AC3" s="4" t="str">
        <f>IF(AC$1="","",SUM(Input!AC$3:AC$202))</f>
        <v/>
      </c>
      <c r="AD3" s="4" t="str">
        <f>IF(AD$1="","",SUM(Input!AD$3:AD$202))</f>
        <v/>
      </c>
      <c r="AE3" s="4" t="str">
        <f>IF(AE$1="","",SUM(Input!AE$3:AE$202))</f>
        <v/>
      </c>
      <c r="AF3" s="4" t="str">
        <f>IF(AF$1="","",SUM(Input!AF$3:AF$202))</f>
        <v/>
      </c>
      <c r="AG3" s="4" t="str">
        <f>IF(AG$1="","",SUM(Input!AG$3:AG$202))</f>
        <v/>
      </c>
      <c r="AH3" s="4" t="str">
        <f>IF(AH$1="","",SUM(Input!AH$3:AH$202))</f>
        <v/>
      </c>
      <c r="AI3" s="4" t="str">
        <f>IF(AI$1="","",SUM(Input!AI$3:AI$202))</f>
        <v/>
      </c>
      <c r="AJ3" s="4" t="str">
        <f>IF(AJ$1="","",SUM(Input!AJ$3:AJ$202))</f>
        <v/>
      </c>
      <c r="AK3" s="4" t="str">
        <f>IF(AK$1="","",SUM(Input!AK$3:AK$202))</f>
        <v/>
      </c>
      <c r="AL3" s="4" t="str">
        <f>IF(AL$1="","",SUM(Input!AL$3:AL$202))</f>
        <v/>
      </c>
      <c r="AM3" s="4" t="str">
        <f>IF(AM$1="","",SUM(Input!AM$3:AM$202))</f>
        <v/>
      </c>
      <c r="AN3" s="4" t="str">
        <f>IF(AN$1="","",SUM(Input!AN$3:AN$202))</f>
        <v/>
      </c>
      <c r="AO3" s="4" t="str">
        <f>IF(AO$1="","",SUM(Input!AO$3:AO$202))</f>
        <v/>
      </c>
      <c r="AP3" s="4" t="str">
        <f>IF(AP$1="","",SUM(Input!AP$3:AP$202))</f>
        <v/>
      </c>
      <c r="AQ3" s="4" t="str">
        <f>IF(AQ$1="","",SUM(Input!AQ$3:AQ$202))</f>
        <v/>
      </c>
      <c r="AR3" s="4" t="str">
        <f>IF(AR$1="","",SUM(Input!AR$3:AR$202))</f>
        <v/>
      </c>
      <c r="AS3" s="4" t="str">
        <f>IF(AS$1="","",SUM(Input!AS$3:AS$202))</f>
        <v/>
      </c>
      <c r="AT3" s="4" t="str">
        <f>IF(AT$1="","",SUM(Input!AT$3:AT$202))</f>
        <v/>
      </c>
      <c r="AU3" s="4" t="str">
        <f>IF(AU$1="","",SUM(Input!AU$3:AU$202))</f>
        <v/>
      </c>
      <c r="AV3" s="4" t="str">
        <f>IF(AV$1="","",SUM(Input!AV$3:AV$202))</f>
        <v/>
      </c>
      <c r="AW3" s="4" t="str">
        <f>IF(AW$1="","",SUM(Input!AW$3:AW$202))</f>
        <v/>
      </c>
      <c r="AX3" s="4" t="str">
        <f>IF(AX$1="","",SUM(Input!AX$3:AX$202))</f>
        <v/>
      </c>
      <c r="AY3" s="4" t="str">
        <f>IF(AY$1="","",SUM(Input!AY$3:AY$202))</f>
        <v/>
      </c>
      <c r="AZ3" s="4" t="str">
        <f>IF(AZ$1="","",SUM(Input!AZ$3:AZ$202))</f>
        <v/>
      </c>
      <c r="BA3" s="4" t="str">
        <f>IF(BA$1="","",SUM(Input!BA$3:BA$202))</f>
        <v/>
      </c>
      <c r="BB3" s="4" t="str">
        <f>IF(BB$1="","",SUM(Input!BB$3:BB$202))</f>
        <v/>
      </c>
      <c r="BC3" s="4" t="str">
        <f>IF(BC$1="","",SUM(Input!BC$3:BC$202))</f>
        <v/>
      </c>
      <c r="BD3" s="4" t="str">
        <f>IF(BD$1="","",SUM(Input!BD$3:BD$202))</f>
        <v/>
      </c>
      <c r="BE3" s="4" t="str">
        <f>IF(BE$1="","",SUM(Input!BE$3:BE$202))</f>
        <v/>
      </c>
      <c r="BF3" s="4" t="str">
        <f>IF(BF$1="","",SUM(Input!BF$3:BF$202))</f>
        <v/>
      </c>
      <c r="BG3" s="4" t="str">
        <f>IF(BG$1="","",SUM(Input!BG$3:BG$202))</f>
        <v/>
      </c>
      <c r="BH3" s="4" t="str">
        <f>IF(BH$1="","",SUM(Input!BH$3:BH$202))</f>
        <v/>
      </c>
      <c r="BI3" s="4" t="str">
        <f>IF(BI$1="","",SUM(Input!BI$3:BI$202))</f>
        <v/>
      </c>
      <c r="BJ3" s="4" t="str">
        <f>IF(BJ$1="","",SUM(Input!BJ$3:BJ$202))</f>
        <v/>
      </c>
    </row>
    <row r="4" spans="1:62" x14ac:dyDescent="0.3">
      <c r="A4" s="1" t="s">
        <v>5</v>
      </c>
      <c r="B4" s="2">
        <v>0</v>
      </c>
      <c r="C4" t="e">
        <f ca="1">IF(C$1="","",CountCTs(Input!C$3:C$202))</f>
        <v>#NAME?</v>
      </c>
      <c r="D4" t="e">
        <f ca="1">IF(D$1="","",CountCTs(Input!D$3:D$202))</f>
        <v>#NAME?</v>
      </c>
      <c r="E4" t="e">
        <f ca="1">IF(E$1="","",CountCTs(Input!E$3:E$202))</f>
        <v>#NAME?</v>
      </c>
      <c r="F4" t="e">
        <f ca="1">IF(F$1="","",CountCTs(Input!F$3:F$202))</f>
        <v>#NAME?</v>
      </c>
      <c r="G4" t="e">
        <f ca="1">IF(G$1="","",CountCTs(Input!G$3:G$202))</f>
        <v>#NAME?</v>
      </c>
      <c r="H4" t="e">
        <f ca="1">IF(H$1="","",CountCTs(Input!H$3:H$202))</f>
        <v>#NAME?</v>
      </c>
      <c r="I4" t="e">
        <f ca="1">IF(I$1="","",CountCTs(Input!I$3:I$202))</f>
        <v>#NAME?</v>
      </c>
      <c r="J4" t="e">
        <f ca="1">IF(J$1="","",CountCTs(Input!J$3:J$202))</f>
        <v>#NAME?</v>
      </c>
      <c r="K4" t="e">
        <f ca="1">IF(K$1="","",CountCTs(Input!K$3:K$202))</f>
        <v>#NAME?</v>
      </c>
      <c r="L4" t="e">
        <f ca="1">IF(L$1="","",CountCTs(Input!L$3:L$202))</f>
        <v>#NAME?</v>
      </c>
      <c r="M4" t="str">
        <f>IF(M$1="","",CountCTs(Input!M$3:M$202))</f>
        <v/>
      </c>
      <c r="N4" t="str">
        <f>IF(N$1="","",CountCTs(Input!N$3:N$202))</f>
        <v/>
      </c>
      <c r="O4" t="str">
        <f>IF(O$1="","",CountCTs(Input!O$3:O$202))</f>
        <v/>
      </c>
      <c r="P4" t="str">
        <f>IF(P$1="","",CountCTs(Input!P$3:P$202))</f>
        <v/>
      </c>
      <c r="Q4" t="str">
        <f>IF(Q$1="","",CountCTs(Input!Q$3:Q$202))</f>
        <v/>
      </c>
      <c r="R4" t="str">
        <f>IF(R$1="","",CountCTs(Input!R$3:R$202))</f>
        <v/>
      </c>
      <c r="S4" t="str">
        <f>IF(S$1="","",CountCTs(Input!S$3:S$202))</f>
        <v/>
      </c>
      <c r="T4" t="str">
        <f>IF(T$1="","",CountCTs(Input!T$3:T$202))</f>
        <v/>
      </c>
      <c r="U4" t="str">
        <f>IF(U$1="","",CountCTs(Input!U$3:U$202))</f>
        <v/>
      </c>
      <c r="V4" t="str">
        <f>IF(V$1="","",CountCTs(Input!V$3:V$202))</f>
        <v/>
      </c>
      <c r="W4" t="str">
        <f>IF(W$1="","",CountCTs(Input!W$3:W$202))</f>
        <v/>
      </c>
      <c r="X4" t="str">
        <f>IF(X$1="","",CountCTs(Input!X$3:X$202))</f>
        <v/>
      </c>
      <c r="Y4" t="str">
        <f>IF(Y$1="","",CountCTs(Input!Y$3:Y$202))</f>
        <v/>
      </c>
      <c r="Z4" t="str">
        <f>IF(Z$1="","",CountCTs(Input!Z$3:Z$202))</f>
        <v/>
      </c>
      <c r="AA4" t="str">
        <f>IF(AA$1="","",CountCTs(Input!AA$3:AA$202))</f>
        <v/>
      </c>
      <c r="AB4" t="str">
        <f>IF(AB$1="","",CountCTs(Input!AB$3:AB$202))</f>
        <v/>
      </c>
      <c r="AC4" t="str">
        <f>IF(AC$1="","",CountCTs(Input!AC$3:AC$202))</f>
        <v/>
      </c>
      <c r="AD4" t="str">
        <f>IF(AD$1="","",CountCTs(Input!AD$3:AD$202))</f>
        <v/>
      </c>
      <c r="AE4" t="str">
        <f>IF(AE$1="","",CountCTs(Input!AE$3:AE$202))</f>
        <v/>
      </c>
      <c r="AF4" t="str">
        <f>IF(AF$1="","",CountCTs(Input!AF$3:AF$202))</f>
        <v/>
      </c>
      <c r="AG4" t="str">
        <f>IF(AG$1="","",CountCTs(Input!AG$3:AG$202))</f>
        <v/>
      </c>
      <c r="AH4" t="str">
        <f>IF(AH$1="","",CountCTs(Input!AH$3:AH$202))</f>
        <v/>
      </c>
      <c r="AI4" t="str">
        <f>IF(AI$1="","",CountCTs(Input!AI$3:AI$202))</f>
        <v/>
      </c>
      <c r="AJ4" t="str">
        <f>IF(AJ$1="","",CountCTs(Input!AJ$3:AJ$202))</f>
        <v/>
      </c>
      <c r="AK4" t="str">
        <f>IF(AK$1="","",CountCTs(Input!AK$3:AK$202))</f>
        <v/>
      </c>
      <c r="AL4" t="str">
        <f>IF(AL$1="","",CountCTs(Input!AL$3:AL$202))</f>
        <v/>
      </c>
      <c r="AM4" t="str">
        <f>IF(AM$1="","",CountCTs(Input!AM$3:AM$202))</f>
        <v/>
      </c>
      <c r="AN4" t="str">
        <f>IF(AN$1="","",CountCTs(Input!AN$3:AN$202))</f>
        <v/>
      </c>
      <c r="AO4" t="str">
        <f>IF(AO$1="","",CountCTs(Input!AO$3:AO$202))</f>
        <v/>
      </c>
      <c r="AP4" t="str">
        <f>IF(AP$1="","",CountCTs(Input!AP$3:AP$202))</f>
        <v/>
      </c>
      <c r="AQ4" t="str">
        <f>IF(AQ$1="","",CountCTs(Input!AQ$3:AQ$202))</f>
        <v/>
      </c>
      <c r="AR4" t="str">
        <f>IF(AR$1="","",CountCTs(Input!AR$3:AR$202))</f>
        <v/>
      </c>
      <c r="AS4" t="str">
        <f>IF(AS$1="","",CountCTs(Input!AS$3:AS$202))</f>
        <v/>
      </c>
      <c r="AT4" t="str">
        <f>IF(AT$1="","",CountCTs(Input!AT$3:AT$202))</f>
        <v/>
      </c>
      <c r="AU4" t="str">
        <f>IF(AU$1="","",CountCTs(Input!AU$3:AU$202))</f>
        <v/>
      </c>
      <c r="AV4" t="str">
        <f>IF(AV$1="","",CountCTs(Input!AV$3:AV$202))</f>
        <v/>
      </c>
      <c r="AW4" t="str">
        <f>IF(AW$1="","",CountCTs(Input!AW$3:AW$202))</f>
        <v/>
      </c>
      <c r="AX4" t="str">
        <f>IF(AX$1="","",CountCTs(Input!AX$3:AX$202))</f>
        <v/>
      </c>
      <c r="AY4" t="str">
        <f>IF(AY$1="","",CountCTs(Input!AY$3:AY$202))</f>
        <v/>
      </c>
      <c r="AZ4" t="str">
        <f>IF(AZ$1="","",CountCTs(Input!AZ$3:AZ$202))</f>
        <v/>
      </c>
      <c r="BA4" t="str">
        <f>IF(BA$1="","",CountCTs(Input!BA$3:BA$202))</f>
        <v/>
      </c>
      <c r="BB4" t="str">
        <f>IF(BB$1="","",CountCTs(Input!BB$3:BB$202))</f>
        <v/>
      </c>
      <c r="BC4" t="str">
        <f>IF(BC$1="","",CountCTs(Input!BC$3:BC$202))</f>
        <v/>
      </c>
      <c r="BD4" t="str">
        <f>IF(BD$1="","",CountCTs(Input!BD$3:BD$202))</f>
        <v/>
      </c>
      <c r="BE4" t="str">
        <f>IF(BE$1="","",CountCTs(Input!BE$3:BE$202))</f>
        <v/>
      </c>
      <c r="BF4" t="str">
        <f>IF(BF$1="","",CountCTs(Input!BF$3:BF$202))</f>
        <v/>
      </c>
      <c r="BG4" t="str">
        <f>IF(BG$1="","",CountCTs(Input!BG$3:BG$202))</f>
        <v/>
      </c>
      <c r="BH4" t="str">
        <f>IF(BH$1="","",CountCTs(Input!BH$3:BH$202))</f>
        <v/>
      </c>
      <c r="BI4" t="str">
        <f>IF(BI$1="","",CountCTs(Input!BI$3:BI$202))</f>
        <v/>
      </c>
      <c r="BJ4" t="str">
        <f>IF(BJ$1="","",CountCTs(Input!BJ$3:BJ$202))</f>
        <v/>
      </c>
    </row>
    <row r="5" spans="1:62" x14ac:dyDescent="0.3">
      <c r="A5" s="1" t="s">
        <v>6</v>
      </c>
      <c r="B5" s="2">
        <f>SUMPRODUCT(--(Input!$A$3:$A$202&lt;&gt;""))</f>
        <v>13</v>
      </c>
      <c r="C5" t="e">
        <f ca="1">IF(C$1="","",B$5-C4)</f>
        <v>#NAME?</v>
      </c>
      <c r="D5" t="e">
        <f t="shared" ref="D5:BJ5" ca="1" si="2">IF(D$1="","",C$5-D4)</f>
        <v>#NAME?</v>
      </c>
      <c r="E5" t="e">
        <f t="shared" ca="1" si="2"/>
        <v>#NAME?</v>
      </c>
      <c r="F5" t="e">
        <f t="shared" ca="1" si="2"/>
        <v>#NAME?</v>
      </c>
      <c r="G5" t="e">
        <f t="shared" ca="1" si="2"/>
        <v>#NAME?</v>
      </c>
      <c r="H5" t="e">
        <f t="shared" ca="1" si="2"/>
        <v>#NAME?</v>
      </c>
      <c r="I5" t="e">
        <f t="shared" ca="1" si="2"/>
        <v>#NAME?</v>
      </c>
      <c r="J5" t="e">
        <f t="shared" ca="1" si="2"/>
        <v>#NAME?</v>
      </c>
      <c r="K5" t="e">
        <f t="shared" ca="1" si="2"/>
        <v>#NAME?</v>
      </c>
      <c r="L5" t="e">
        <f t="shared" ca="1" si="2"/>
        <v>#NAME?</v>
      </c>
      <c r="M5" t="str">
        <f t="shared" si="2"/>
        <v/>
      </c>
      <c r="N5" t="str">
        <f t="shared" si="2"/>
        <v/>
      </c>
      <c r="O5" t="str">
        <f t="shared" si="2"/>
        <v/>
      </c>
      <c r="P5" t="str">
        <f t="shared" si="2"/>
        <v/>
      </c>
      <c r="Q5" t="str">
        <f t="shared" si="2"/>
        <v/>
      </c>
      <c r="R5" t="str">
        <f t="shared" si="2"/>
        <v/>
      </c>
      <c r="S5" t="str">
        <f t="shared" si="2"/>
        <v/>
      </c>
      <c r="T5" t="str">
        <f t="shared" si="2"/>
        <v/>
      </c>
      <c r="U5" t="str">
        <f t="shared" si="2"/>
        <v/>
      </c>
      <c r="V5" t="str">
        <f t="shared" si="2"/>
        <v/>
      </c>
      <c r="W5" t="str">
        <f t="shared" si="2"/>
        <v/>
      </c>
      <c r="X5" t="str">
        <f t="shared" si="2"/>
        <v/>
      </c>
      <c r="Y5" t="str">
        <f t="shared" si="2"/>
        <v/>
      </c>
      <c r="Z5" t="str">
        <f t="shared" si="2"/>
        <v/>
      </c>
      <c r="AA5" t="str">
        <f t="shared" si="2"/>
        <v/>
      </c>
      <c r="AB5" t="str">
        <f t="shared" si="2"/>
        <v/>
      </c>
      <c r="AC5" t="str">
        <f t="shared" si="2"/>
        <v/>
      </c>
      <c r="AD5" t="str">
        <f t="shared" si="2"/>
        <v/>
      </c>
      <c r="AE5" t="str">
        <f t="shared" si="2"/>
        <v/>
      </c>
      <c r="AF5" t="str">
        <f t="shared" si="2"/>
        <v/>
      </c>
      <c r="AG5" t="str">
        <f t="shared" si="2"/>
        <v/>
      </c>
      <c r="AH5" t="str">
        <f t="shared" si="2"/>
        <v/>
      </c>
      <c r="AI5" t="str">
        <f t="shared" si="2"/>
        <v/>
      </c>
      <c r="AJ5" t="str">
        <f t="shared" si="2"/>
        <v/>
      </c>
      <c r="AK5" t="str">
        <f t="shared" si="2"/>
        <v/>
      </c>
      <c r="AL5" t="str">
        <f t="shared" si="2"/>
        <v/>
      </c>
      <c r="AM5" t="str">
        <f t="shared" si="2"/>
        <v/>
      </c>
      <c r="AN5" t="str">
        <f t="shared" si="2"/>
        <v/>
      </c>
      <c r="AO5" t="str">
        <f t="shared" si="2"/>
        <v/>
      </c>
      <c r="AP5" t="str">
        <f t="shared" si="2"/>
        <v/>
      </c>
      <c r="AQ5" t="str">
        <f t="shared" si="2"/>
        <v/>
      </c>
      <c r="AR5" t="str">
        <f t="shared" si="2"/>
        <v/>
      </c>
      <c r="AS5" t="str">
        <f t="shared" si="2"/>
        <v/>
      </c>
      <c r="AT5" t="str">
        <f t="shared" si="2"/>
        <v/>
      </c>
      <c r="AU5" t="str">
        <f t="shared" si="2"/>
        <v/>
      </c>
      <c r="AV5" t="str">
        <f t="shared" si="2"/>
        <v/>
      </c>
      <c r="AW5" t="str">
        <f t="shared" si="2"/>
        <v/>
      </c>
      <c r="AX5" t="str">
        <f t="shared" si="2"/>
        <v/>
      </c>
      <c r="AY5" t="str">
        <f t="shared" si="2"/>
        <v/>
      </c>
      <c r="AZ5" t="str">
        <f t="shared" si="2"/>
        <v/>
      </c>
      <c r="BA5" t="str">
        <f t="shared" si="2"/>
        <v/>
      </c>
      <c r="BB5" t="str">
        <f t="shared" si="2"/>
        <v/>
      </c>
      <c r="BC5" t="str">
        <f t="shared" si="2"/>
        <v/>
      </c>
      <c r="BD5" t="str">
        <f t="shared" si="2"/>
        <v/>
      </c>
      <c r="BE5" t="str">
        <f t="shared" si="2"/>
        <v/>
      </c>
      <c r="BF5" t="str">
        <f t="shared" si="2"/>
        <v/>
      </c>
      <c r="BG5" t="str">
        <f t="shared" si="2"/>
        <v/>
      </c>
      <c r="BH5" t="str">
        <f t="shared" si="2"/>
        <v/>
      </c>
      <c r="BI5" t="str">
        <f t="shared" si="2"/>
        <v/>
      </c>
      <c r="BJ5" t="str">
        <f t="shared" si="2"/>
        <v/>
      </c>
    </row>
    <row r="7" spans="1:62" x14ac:dyDescent="0.3">
      <c r="A7"/>
    </row>
    <row r="8" spans="1:62" x14ac:dyDescent="0.3">
      <c r="A8"/>
    </row>
    <row r="9" spans="1:62" x14ac:dyDescent="0.3">
      <c r="A9"/>
    </row>
    <row r="10" spans="1:62" x14ac:dyDescent="0.3">
      <c r="A10"/>
    </row>
    <row r="11" spans="1:62" x14ac:dyDescent="0.3">
      <c r="A11"/>
    </row>
    <row r="12" spans="1:62" x14ac:dyDescent="0.3">
      <c r="A12"/>
    </row>
    <row r="13" spans="1:62" x14ac:dyDescent="0.3">
      <c r="A13"/>
    </row>
    <row r="14" spans="1:62" x14ac:dyDescent="0.3">
      <c r="A1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2</vt:i4>
      </vt:variant>
    </vt:vector>
  </HeadingPairs>
  <TitlesOfParts>
    <vt:vector size="2" baseType="lpstr">
      <vt:lpstr>Burndown Chart</vt:lpstr>
      <vt:lpstr>Input</vt:lpstr>
    </vt:vector>
  </TitlesOfParts>
  <Company>IBM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Vijay A. Verma</dc:creator>
  <cp:lastModifiedBy>Tim Maas Gesteranus</cp:lastModifiedBy>
  <cp:lastPrinted>2016-02-23T08:42:38Z</cp:lastPrinted>
  <dcterms:created xsi:type="dcterms:W3CDTF">2016-02-23T08:35:30Z</dcterms:created>
  <dcterms:modified xsi:type="dcterms:W3CDTF">2020-01-22T12:34:21Z</dcterms:modified>
</cp:coreProperties>
</file>