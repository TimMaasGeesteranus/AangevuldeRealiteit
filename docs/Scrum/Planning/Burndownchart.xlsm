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7A2D7E96-6E34-419A-AE5F-296B3A7E7977}"/>
  <workbookPr codeName="ThisWorkbook"/>
  <mc:AlternateContent xmlns:mc="http://schemas.openxmlformats.org/markup-compatibility/2006">
    <mc:Choice Requires="x15">
      <x15ac:absPath xmlns:x15ac="http://schemas.microsoft.com/office/spreadsheetml/2010/11/ac" url="C:\Users\Tim Maas Gesteranus\Desktop\"/>
    </mc:Choice>
  </mc:AlternateContent>
  <xr:revisionPtr revIDLastSave="0" documentId="13_ncr:1_{B3A3D507-6F8D-4EE1-B136-1D2FD84DC272}" xr6:coauthVersionLast="45" xr6:coauthVersionMax="45" xr10:uidLastSave="{00000000-0000-0000-0000-000000000000}"/>
  <workbookProtection workbookPassword="B126" lockStructure="1"/>
  <bookViews>
    <workbookView xWindow="-108" yWindow="-108" windowWidth="23256" windowHeight="12576" activeTab="1"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91029" iterateDelta="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S4" i="4" s="1"/>
  <c r="R1" i="4"/>
  <c r="Q1" i="4"/>
  <c r="P1" i="4"/>
  <c r="O1" i="4"/>
  <c r="N1" i="4"/>
  <c r="M1" i="4"/>
  <c r="L1" i="4"/>
  <c r="K1" i="4"/>
  <c r="J1" i="4"/>
  <c r="I1" i="4"/>
  <c r="G1" i="4"/>
  <c r="F1" i="4"/>
  <c r="E1" i="4"/>
  <c r="D1" i="4"/>
  <c r="C1" i="4"/>
  <c r="F3" i="4" l="1"/>
  <c r="F4" i="4"/>
  <c r="K3" i="4"/>
  <c r="K4" i="4"/>
  <c r="O3" i="4"/>
  <c r="O4" i="4"/>
  <c r="C3" i="4"/>
  <c r="C4" i="4"/>
  <c r="C5" i="4" s="1"/>
  <c r="G3" i="4"/>
  <c r="G4" i="4"/>
  <c r="L3" i="4"/>
  <c r="L4" i="4"/>
  <c r="P3" i="4"/>
  <c r="P4" i="4"/>
  <c r="T4" i="4"/>
  <c r="T5" i="4"/>
  <c r="X4" i="4"/>
  <c r="X5" i="4"/>
  <c r="AB4" i="4"/>
  <c r="AB5" i="4"/>
  <c r="AF4" i="4"/>
  <c r="AF5" i="4"/>
  <c r="AJ4" i="4"/>
  <c r="AJ5" i="4"/>
  <c r="AN4" i="4"/>
  <c r="AN5" i="4"/>
  <c r="AR4" i="4"/>
  <c r="AR5" i="4"/>
  <c r="AV4" i="4"/>
  <c r="AV5" i="4"/>
  <c r="AZ4" i="4"/>
  <c r="AZ5" i="4"/>
  <c r="BD4" i="4"/>
  <c r="BD5" i="4"/>
  <c r="BH4" i="4"/>
  <c r="BH5" i="4"/>
  <c r="D3" i="4"/>
  <c r="D4" i="4"/>
  <c r="I3" i="4"/>
  <c r="I4" i="4"/>
  <c r="M3" i="4"/>
  <c r="M4" i="4"/>
  <c r="Q3" i="4"/>
  <c r="Q4" i="4"/>
  <c r="U4" i="4"/>
  <c r="U5" i="4"/>
  <c r="Y4" i="4"/>
  <c r="Y5" i="4"/>
  <c r="AC4" i="4"/>
  <c r="AC5" i="4"/>
  <c r="AG4" i="4"/>
  <c r="AG5" i="4"/>
  <c r="AK4" i="4"/>
  <c r="AK5" i="4"/>
  <c r="AO4" i="4"/>
  <c r="AO5" i="4"/>
  <c r="AS4" i="4"/>
  <c r="AS5" i="4"/>
  <c r="AW4" i="4"/>
  <c r="AW5" i="4"/>
  <c r="BA4" i="4"/>
  <c r="BA5" i="4"/>
  <c r="BE4" i="4"/>
  <c r="BE5" i="4"/>
  <c r="BI4" i="4"/>
  <c r="BI5" i="4"/>
  <c r="E3" i="4"/>
  <c r="E4" i="4"/>
  <c r="J3" i="4"/>
  <c r="J4" i="4"/>
  <c r="N3" i="4"/>
  <c r="N4" i="4"/>
  <c r="R3" i="4"/>
  <c r="R4"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4" i="4"/>
  <c r="BC5" i="4"/>
  <c r="BG4" i="4"/>
  <c r="BG5" i="4"/>
  <c r="H3" i="4"/>
  <c r="H4"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D5" i="4" l="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<sst xmlns="http://schemas.openxmlformats.org/spreadsheetml/2006/main" count="24" uniqueCount="24">
  <si>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</si>
  <si>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</si>
  <si>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</si>
  <si>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</si>
  <si>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</si>
  <si>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</si>
  <si>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</si>
  <si>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</si>
  <si>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</si>
  <si>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</si>
  <si>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</si>
  <si>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Radar tonen met maps locaties</t>
  </si>
  <si>
    <t>Voorbereiden eindpresentatie project</t>
  </si>
  <si>
    <t>Retrospective voorbereiden</t>
  </si>
  <si>
    <t>Code herstructureren</t>
  </si>
  <si>
    <t>ICA-presents voorbereiden</t>
  </si>
  <si>
    <t>Meerdere markers tonen via script met plugin</t>
  </si>
  <si>
    <t>Software guidebook</t>
  </si>
  <si>
    <t>Performance testing Unity</t>
  </si>
  <si>
    <t>Burndownchart maken in Excel</t>
  </si>
  <si>
    <t>Het schrijven van editor/playtests met Nunit</t>
  </si>
  <si>
    <t>Marker tonen aan de hand van Google Maps</t>
  </si>
  <si>
    <t xml:space="preserve">Koppelen settings met rest van de applicatie </t>
  </si>
  <si>
    <t>Burndownchart is klaar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</si>
</sst>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d\-mmm\-yy;@"/>
    <numFmt numFmtId="165" formatCode="[$-409]d\-mmm\-yy;@"/>
  </numFmts>
  <fonts count="6"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1">
    <border>
      <left/>
      <right/>
      <top/>
      <bottom/>
      <diagonal/>
    </border>
  </borders>
  <cellStyleXfs count="1">
    <xf numFmtId="0" fontId="0" fillId="0" borderId="0"/>
  </cellStyleXfs>
  <cellXfs count="16">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cellXfs>
  <cellStyles count="1">
    <cellStyle name="Standaard" xfId="0" builtinId="0"/>
  </cellStyles>
  <dxfs count="1">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nl-NL"/>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[0]!PlannedE</c:f>
              <c:numCache>
                <c:formatCode>0</c:formatCode>
                <c:ptCount val="11"/>
                <c:pt idx="0">
                  <c:v>127</c:v>
                </c:pt>
                <c:pt idx="1">
                  <c:v>114.3</c:v>
                </c:pt>
                <c:pt idx="2">
                  <c:v>101.6</c:v>
                </c:pt>
                <c:pt idx="3">
                  <c:v>88.899999999999991</c:v>
                </c:pt>
                <c:pt idx="4">
                  <c:v>76.199999999999989</c:v>
                </c:pt>
                <c:pt idx="5">
                  <c:v>63.499999999999986</c:v>
                </c:pt>
                <c:pt idx="6">
                  <c:v>50.799999999999983</c:v>
                </c:pt>
                <c:pt idx="7">
                  <c:v>38.09999999999998</c:v>
                </c:pt>
                <c:pt idx="8">
                  <c:v>25.399999999999981</c:v>
                </c:pt>
                <c:pt idx="9">
                  <c:v>12.699999999999982</c:v>
                </c:pt>
                <c:pt idx="10">
                  <c:v>-1.7763568394002505E-14</c:v>
                </c:pt>
              </c:numCache>
            </c:numRef>
          </c:val>
          <c:smooth val="0"/>
          <c:extLst>
            <c:ext xmlns:c16="http://schemas.microsoft.com/office/drawing/2014/chart" uri="{C3380CC4-5D6E-409C-BE32-E72D297353CC}">
              <c16:uniqueId val="{00000000-1CCC-42F7-B15F-465DC2BDF331}"/>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[0]!HoursR</c:f>
              <c:numCache>
                <c:formatCode>0</c:formatCode>
                <c:ptCount val="11"/>
                <c:pt idx="0">
                  <c:v>127</c:v>
                </c:pt>
                <c:pt idx="1">
                  <c:v>97.5</c:v>
                </c:pt>
                <c:pt idx="2">
                  <c:v>97.5</c:v>
                </c:pt>
                <c:pt idx="3">
                  <c:v>97.5</c:v>
                </c:pt>
                <c:pt idx="4">
                  <c:v>97.5</c:v>
                </c:pt>
                <c:pt idx="5">
                  <c:v>97.5</c:v>
                </c:pt>
                <c:pt idx="6">
                  <c:v>97.5</c:v>
                </c:pt>
                <c:pt idx="7">
                  <c:v>97.5</c:v>
                </c:pt>
                <c:pt idx="8">
                  <c:v>97.5</c:v>
                </c:pt>
                <c:pt idx="9">
                  <c:v>97.5</c:v>
                </c:pt>
                <c:pt idx="10">
                  <c:v>97.5</c:v>
                </c:pt>
              </c:numCache>
            </c:numRef>
          </c:val>
          <c:smooth val="0"/>
          <c:extLst>
            <c:ext xmlns:c16="http://schemas.microsoft.com/office/drawing/2014/chart" uri="{C3380CC4-5D6E-409C-BE32-E72D297353CC}">
              <c16:uniqueId val="{00000001-1CCC-42F7-B15F-465DC2BDF33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nl-NL"/>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nl-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nl-NL"/>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[0]!HoursR</c:f>
              <c:numCache>
                <c:formatCode>0</c:formatCode>
                <c:ptCount val="11"/>
                <c:pt idx="0">
                  <c:v>127</c:v>
                </c:pt>
                <c:pt idx="1">
                  <c:v>97.5</c:v>
                </c:pt>
                <c:pt idx="2">
                  <c:v>97.5</c:v>
                </c:pt>
                <c:pt idx="3">
                  <c:v>97.5</c:v>
                </c:pt>
                <c:pt idx="4">
                  <c:v>97.5</c:v>
                </c:pt>
                <c:pt idx="5">
                  <c:v>97.5</c:v>
                </c:pt>
                <c:pt idx="6">
                  <c:v>97.5</c:v>
                </c:pt>
                <c:pt idx="7">
                  <c:v>97.5</c:v>
                </c:pt>
                <c:pt idx="8">
                  <c:v>97.5</c:v>
                </c:pt>
                <c:pt idx="9">
                  <c:v>97.5</c:v>
                </c:pt>
                <c:pt idx="10">
                  <c:v>97.5</c:v>
                </c:pt>
              </c:numCache>
            </c:numRef>
          </c:val>
          <c:extLst>
            <c:ext xmlns:c16="http://schemas.microsoft.com/office/drawing/2014/chart" uri="{C3380CC4-5D6E-409C-BE32-E72D297353CC}">
              <c16:uniqueId val="{00000000-ACCA-4392-903B-C9669F93C8C9}"/>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[0]!PlannedE</c:f>
              <c:numCache>
                <c:formatCode>0</c:formatCode>
                <c:ptCount val="11"/>
                <c:pt idx="0">
                  <c:v>127</c:v>
                </c:pt>
                <c:pt idx="1">
                  <c:v>114.3</c:v>
                </c:pt>
                <c:pt idx="2">
                  <c:v>101.6</c:v>
                </c:pt>
                <c:pt idx="3">
                  <c:v>88.899999999999991</c:v>
                </c:pt>
                <c:pt idx="4">
                  <c:v>76.199999999999989</c:v>
                </c:pt>
                <c:pt idx="5">
                  <c:v>63.499999999999986</c:v>
                </c:pt>
                <c:pt idx="6">
                  <c:v>50.799999999999983</c:v>
                </c:pt>
                <c:pt idx="7">
                  <c:v>38.09999999999998</c:v>
                </c:pt>
                <c:pt idx="8">
                  <c:v>25.399999999999981</c:v>
                </c:pt>
                <c:pt idx="9">
                  <c:v>12.699999999999982</c:v>
                </c:pt>
                <c:pt idx="10">
                  <c:v>-1.7763568394002505E-14</c:v>
                </c:pt>
              </c:numCache>
            </c:numRef>
          </c:val>
          <c:smooth val="0"/>
          <c:extLst>
            <c:ext xmlns:c16="http://schemas.microsoft.com/office/drawing/2014/chart" uri="{C3380CC4-5D6E-409C-BE32-E72D297353CC}">
              <c16:uniqueId val="{00000001-ACCA-4392-903B-C9669F93C8C9}"/>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nl-NL"/>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nl-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nl-NL"/>
        </a:p>
      </c:txPr>
    </c:title>
    <c:autoTitleDeleted val="0"/>
    <c:plotArea>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[0]!HoursR</c:f>
              <c:numCache>
                <c:formatCode>0</c:formatCode>
                <c:ptCount val="11"/>
                <c:pt idx="0">
                  <c:v>127</c:v>
                </c:pt>
                <c:pt idx="1">
                  <c:v>97.5</c:v>
                </c:pt>
                <c:pt idx="2">
                  <c:v>97.5</c:v>
                </c:pt>
                <c:pt idx="3">
                  <c:v>97.5</c:v>
                </c:pt>
                <c:pt idx="4">
                  <c:v>97.5</c:v>
                </c:pt>
                <c:pt idx="5">
                  <c:v>97.5</c:v>
                </c:pt>
                <c:pt idx="6">
                  <c:v>97.5</c:v>
                </c:pt>
                <c:pt idx="7">
                  <c:v>97.5</c:v>
                </c:pt>
                <c:pt idx="8">
                  <c:v>97.5</c:v>
                </c:pt>
                <c:pt idx="9">
                  <c:v>97.5</c:v>
                </c:pt>
                <c:pt idx="10">
                  <c:v>97.5</c:v>
                </c:pt>
              </c:numCache>
            </c:numRef>
          </c:val>
          <c:extLst>
            <c:ext xmlns:c16="http://schemas.microsoft.com/office/drawing/2014/chart" uri="{C3380CC4-5D6E-409C-BE32-E72D297353CC}">
              <c16:uniqueId val="{00000000-7DAD-4164-A3BF-E0E0CDB07505}"/>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[0]!PlannedE</c:f>
              <c:numCache>
                <c:formatCode>0</c:formatCode>
                <c:ptCount val="11"/>
                <c:pt idx="0">
                  <c:v>127</c:v>
                </c:pt>
                <c:pt idx="1">
                  <c:v>114.3</c:v>
                </c:pt>
                <c:pt idx="2">
                  <c:v>101.6</c:v>
                </c:pt>
                <c:pt idx="3">
                  <c:v>88.899999999999991</c:v>
                </c:pt>
                <c:pt idx="4">
                  <c:v>76.199999999999989</c:v>
                </c:pt>
                <c:pt idx="5">
                  <c:v>63.499999999999986</c:v>
                </c:pt>
                <c:pt idx="6">
                  <c:v>50.799999999999983</c:v>
                </c:pt>
                <c:pt idx="7">
                  <c:v>38.09999999999998</c:v>
                </c:pt>
                <c:pt idx="8">
                  <c:v>25.399999999999981</c:v>
                </c:pt>
                <c:pt idx="9">
                  <c:v>12.699999999999982</c:v>
                </c:pt>
                <c:pt idx="10">
                  <c:v>-1.7763568394002505E-14</c:v>
                </c:pt>
              </c:numCache>
            </c:numRef>
          </c:val>
          <c:smooth val="0"/>
          <c:extLst>
            <c:ext xmlns:c16="http://schemas.microsoft.com/office/drawing/2014/chart" uri="{C3380CC4-5D6E-409C-BE32-E72D297353CC}">
              <c16:uniqueId val="{00000001-7DAD-4164-A3BF-E0E0CDB07505}"/>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nl-NL"/>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nl-N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nl-NL"/>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[0]!PlannedE</c:f>
              <c:numCache>
                <c:formatCode>0</c:formatCode>
                <c:ptCount val="11"/>
                <c:pt idx="0">
                  <c:v>127</c:v>
                </c:pt>
                <c:pt idx="1">
                  <c:v>114.3</c:v>
                </c:pt>
                <c:pt idx="2">
                  <c:v>101.6</c:v>
                </c:pt>
                <c:pt idx="3">
                  <c:v>88.899999999999991</c:v>
                </c:pt>
                <c:pt idx="4">
                  <c:v>76.199999999999989</c:v>
                </c:pt>
                <c:pt idx="5">
                  <c:v>63.499999999999986</c:v>
                </c:pt>
                <c:pt idx="6">
                  <c:v>50.799999999999983</c:v>
                </c:pt>
                <c:pt idx="7">
                  <c:v>38.09999999999998</c:v>
                </c:pt>
                <c:pt idx="8">
                  <c:v>25.399999999999981</c:v>
                </c:pt>
                <c:pt idx="9">
                  <c:v>12.699999999999982</c:v>
                </c:pt>
                <c:pt idx="10">
                  <c:v>-1.7763568394002505E-14</c:v>
                </c:pt>
              </c:numCache>
            </c:numRef>
          </c:val>
          <c:extLst>
            <c:ext xmlns:c16="http://schemas.microsoft.com/office/drawing/2014/chart" uri="{C3380CC4-5D6E-409C-BE32-E72D297353CC}">
              <c16:uniqueId val="{00000000-AB3F-4718-A6C5-49279CABC647}"/>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[0]!HoursR</c:f>
              <c:numCache>
                <c:formatCode>0</c:formatCode>
                <c:ptCount val="11"/>
                <c:pt idx="0">
                  <c:v>127</c:v>
                </c:pt>
                <c:pt idx="1">
                  <c:v>97.5</c:v>
                </c:pt>
                <c:pt idx="2">
                  <c:v>97.5</c:v>
                </c:pt>
                <c:pt idx="3">
                  <c:v>97.5</c:v>
                </c:pt>
                <c:pt idx="4">
                  <c:v>97.5</c:v>
                </c:pt>
                <c:pt idx="5">
                  <c:v>97.5</c:v>
                </c:pt>
                <c:pt idx="6">
                  <c:v>97.5</c:v>
                </c:pt>
                <c:pt idx="7">
                  <c:v>97.5</c:v>
                </c:pt>
                <c:pt idx="8">
                  <c:v>97.5</c:v>
                </c:pt>
                <c:pt idx="9">
                  <c:v>97.5</c:v>
                </c:pt>
                <c:pt idx="10">
                  <c:v>97.5</c:v>
                </c:pt>
              </c:numCache>
            </c:numRef>
          </c:val>
          <c:extLst>
            <c:ext xmlns:c16="http://schemas.microsoft.com/office/drawing/2014/chart" uri="{C3380CC4-5D6E-409C-BE32-E72D297353CC}">
              <c16:uniqueId val="{00000001-AB3F-4718-A6C5-49279CABC647}"/>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nl-NL"/>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nl-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eforexcel.com/wp" TargetMode="Externa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57150</xdr:colOff>
      <xdr:row>3</xdr:row>
      <xdr:rowOff>76200</xdr:rowOff>
    </xdr:from>
    <xdr:to>
      <xdr:col>10</xdr:col>
      <xdr:colOff>76200</xdr:colOff>
      <xdr:row>22</xdr:row>
      <xdr:rowOff>47625</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3</xdr:col>
      <xdr:colOff>521040</xdr:colOff>
      <xdr:row>2</xdr:row>
      <xdr:rowOff>21336</xdr:rowOff>
    </xdr:to>
    <xdr:pic>
      <xdr:nvPicPr>
        <xdr:cNvPr id="3" name="Picture 2">
          <a:hlinkClick xmlns:r="http://schemas.openxmlformats.org/officeDocument/2006/relationships" r:id="rId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2349840" cy="402336"/>
        </a:xfrm>
        <a:prstGeom prst="rect">
          <a:avLst/>
        </a:prstGeom>
      </xdr:spPr>
    </xdr:pic>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10</xdr:col>
      <xdr:colOff>161925</xdr:colOff>
      <xdr:row>3</xdr:row>
      <xdr:rowOff>76200</xdr:rowOff>
    </xdr:from>
    <xdr:to>
      <xdr:col>19</xdr:col>
      <xdr:colOff>447675</xdr:colOff>
      <xdr:row>22</xdr:row>
      <xdr:rowOff>47625</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23</xdr:row>
      <xdr:rowOff>180975</xdr:rowOff>
    </xdr:from>
    <xdr:to>
      <xdr:col>10</xdr:col>
      <xdr:colOff>85725</xdr:colOff>
      <xdr:row>42</xdr:row>
      <xdr:rowOff>152400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23</xdr:row>
      <xdr:rowOff>180975</xdr:rowOff>
    </xdr:from>
    <xdr:to>
      <xdr:col>19</xdr:col>
      <xdr:colOff>457200</xdr:colOff>
      <xdr:row>42</xdr:row>
      <xdr:rowOff>152400</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121920</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nl-NL" sz="2000" b="0" i="0" u="none" strike="noStrike" baseline="0">
                  <a:solidFill>
                    <a:srgbClr val="000000"/>
                  </a:solidFill>
                  <a:latin typeface="Calibri"/>
                  <a:cs typeface="Calibri"/>
                </a:rPr>
                <a:t>Clear Old Data</a:t>
              </a:r>
              <a:endParaRPr lang="nl-NL" sz="1100" b="0" i="0" u="none" strike="noStrike" baseline="0">
                <a:solidFill>
                  <a:srgbClr val="000000"/>
                </a:solidFill>
                <a:latin typeface="Calibri"/>
                <a:cs typeface="Calibri"/>
              </a:endParaRPr>
            </a:p>
            <a:p>
              <a:pPr algn="ctr" rtl="0">
                <a:defRPr sz="1000"/>
              </a:pPr>
              <a:r>
                <a:rPr lang="nl-NL"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topLeftCell="A23" workbookViewId="0">
      <selection activeCell="C48" sqref="C48"/>
    </sheetView>
  </sheetViews>
  <sheetFormatPr defaultRowHeight="14.4" x14ac:dyDescent="0.3"/>
  <cols>
    <col min="11" max="11" width="2.5546875" customWidth="1"/>
    <col min="12" max="12" width="20.88671875" bestFit="1" customWidth="1"/>
  </cols>
  <sheetData>
    <row r="1" spans="4:12" x14ac:dyDescent="0.3">
      <c r="D1" s="10" t="s">
        <v>4</v>
      </c>
      <c r="E1" s="11"/>
      <c r="F1" s="11"/>
      <c r="G1" s="11"/>
      <c r="H1" s="11"/>
      <c r="I1" s="11"/>
      <c r="J1" s="12"/>
      <c r="L1" s="9" t="s">
        <v>7</v>
      </c>
    </row>
    <row r="2" spans="4:12" x14ac:dyDescent="0.3">
      <c r="D2" s="11"/>
      <c r="E2" s="11"/>
      <c r="F2" s="11"/>
      <c r="G2" s="11"/>
      <c r="H2" s="11"/>
      <c r="I2" s="11"/>
      <c r="J2" s="12"/>
      <c r="L2" s="1" t="s">
        <v>0</v>
      </c>
    </row>
    <row r="3" spans="4:12" x14ac:dyDescent="0.3">
      <c r="L3" s="1" t="s">
        <v>2</v>
      </c>
    </row>
  </sheetData>
  <mergeCells count="1">
    <mergeCell ref="D1:J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tabSelected="1" workbookViewId="0">
      <pane ySplit="2" topLeftCell="A3" activePane="bottomLeft" state="frozen"/>
      <selection pane="bottomLeft" activeCell="B14" sqref="B14"/>
    </sheetView>
  </sheetViews>
  <sheetFormatPr defaultColWidth="0" defaultRowHeight="14.4" zeroHeight="1" x14ac:dyDescent="0.3"/>
  <cols>
    <col min="1" max="1" width="38.109375" customWidth="1"/>
    <col min="2" max="2" width="13.88671875" customWidth="1"/>
    <col min="3" max="62" width="9.109375" customWidth="1"/>
    <col min="63" max="16384" width="9.109375" hidden="1"/>
  </cols>
  <sheetData>
    <row r="1" spans="1:62" ht="60" customHeight="1" x14ac:dyDescent="0.3">
      <c r="C1" s="13" t="s">
        <v>9</v>
      </c>
      <c r="D1" s="13"/>
      <c r="E1" s="13"/>
      <c r="F1" s="13"/>
      <c r="G1" s="13"/>
      <c r="H1" s="13"/>
      <c r="I1" s="13"/>
      <c r="J1" s="13"/>
      <c r="K1" s="13"/>
      <c r="L1" s="13"/>
      <c r="M1" s="13"/>
      <c r="N1" s="14" t="s">
        <v>10</v>
      </c>
      <c r="O1" s="15"/>
      <c r="P1" s="15"/>
      <c r="Q1" s="15"/>
      <c r="R1" s="15"/>
      <c r="S1" s="15"/>
      <c r="T1" s="12"/>
    </row>
    <row r="2" spans="1:62" s="1" customFormat="1" x14ac:dyDescent="0.3">
      <c r="A2" s="5" t="s">
        <v>8</v>
      </c>
      <c r="B2" s="5" t="str">
        <f>IF('Burndown Chart'!$L$2="","Planned Effort",'Burndown Chart'!$L$2)</f>
        <v>Planned Effort</v>
      </c>
      <c r="C2" s="5">
        <v>43844</v>
      </c>
      <c r="D2" s="5">
        <v>43845</v>
      </c>
      <c r="E2" s="5">
        <v>43846</v>
      </c>
      <c r="F2" s="5">
        <v>43847</v>
      </c>
      <c r="G2" s="5">
        <v>43848</v>
      </c>
      <c r="H2" s="5">
        <v>43849</v>
      </c>
      <c r="I2" s="5">
        <v>43850</v>
      </c>
      <c r="J2" s="5">
        <v>43851</v>
      </c>
      <c r="K2" s="5">
        <v>43852</v>
      </c>
      <c r="L2" s="5">
        <v>43853</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x14ac:dyDescent="0.3">
      <c r="A3" t="s">
        <v>11</v>
      </c>
      <c r="B3">
        <v>20</v>
      </c>
      <c r="C3">
        <v>18.5</v>
      </c>
      <c r="D3">
        <v>18.5</v>
      </c>
      <c r="E3">
        <v>18.5</v>
      </c>
      <c r="F3">
        <v>18.5</v>
      </c>
      <c r="G3">
        <v>18.5</v>
      </c>
      <c r="H3">
        <v>18.5</v>
      </c>
      <c r="I3">
        <v>18.5</v>
      </c>
      <c r="J3">
        <v>18.5</v>
      </c>
      <c r="K3">
        <v>18.5</v>
      </c>
      <c r="L3">
        <v>18.5</v>
      </c>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x14ac:dyDescent="0.3">
      <c r="A4" t="s">
        <v>12</v>
      </c>
      <c r="B4">
        <v>3</v>
      </c>
      <c r="C4">
        <v>0.5</v>
      </c>
      <c r="D4">
        <v>0.5</v>
      </c>
      <c r="E4">
        <v>0.5</v>
      </c>
      <c r="F4">
        <v>0.5</v>
      </c>
      <c r="G4">
        <v>0.5</v>
      </c>
      <c r="H4">
        <v>0.5</v>
      </c>
      <c r="I4">
        <v>0.5</v>
      </c>
      <c r="J4">
        <v>0.5</v>
      </c>
      <c r="K4">
        <v>0.5</v>
      </c>
      <c r="L4">
        <v>0.5</v>
      </c>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x14ac:dyDescent="0.3">
      <c r="A5" t="s">
        <v>13</v>
      </c>
      <c r="B5">
        <v>3</v>
      </c>
      <c r="C5">
        <v>3</v>
      </c>
      <c r="D5">
        <v>3</v>
      </c>
      <c r="E5">
        <v>3</v>
      </c>
      <c r="F5">
        <v>3</v>
      </c>
      <c r="G5">
        <v>3</v>
      </c>
      <c r="H5">
        <v>3</v>
      </c>
      <c r="I5">
        <v>3</v>
      </c>
      <c r="J5">
        <v>3</v>
      </c>
      <c r="K5">
        <v>3</v>
      </c>
      <c r="L5">
        <v>3</v>
      </c>
      <c r="M5" s="3"/>
      <c r="N5" s="3"/>
      <c r="O5" s="3"/>
      <c r="P5" s="3"/>
      <c r="Q5" s="3"/>
      <c r="R5" s="3"/>
      <c r="S5" s="3">
        <v>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x14ac:dyDescent="0.3">
      <c r="A6" t="s">
        <v>14</v>
      </c>
      <c r="B6">
        <v>6</v>
      </c>
      <c r="C6">
        <v>6</v>
      </c>
      <c r="D6">
        <v>6</v>
      </c>
      <c r="E6">
        <v>6</v>
      </c>
      <c r="F6">
        <v>6</v>
      </c>
      <c r="G6">
        <v>6</v>
      </c>
      <c r="H6">
        <v>6</v>
      </c>
      <c r="I6">
        <v>6</v>
      </c>
      <c r="J6">
        <v>6</v>
      </c>
      <c r="K6">
        <v>6</v>
      </c>
      <c r="L6">
        <v>6</v>
      </c>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x14ac:dyDescent="0.3">
      <c r="A7" t="s">
        <v>15</v>
      </c>
      <c r="B7">
        <v>6</v>
      </c>
      <c r="C7">
        <v>2</v>
      </c>
      <c r="D7">
        <v>2</v>
      </c>
      <c r="E7">
        <v>2</v>
      </c>
      <c r="F7">
        <v>2</v>
      </c>
      <c r="G7">
        <v>2</v>
      </c>
      <c r="H7">
        <v>2</v>
      </c>
      <c r="I7">
        <v>2</v>
      </c>
      <c r="J7">
        <v>2</v>
      </c>
      <c r="K7">
        <v>2</v>
      </c>
      <c r="L7">
        <v>2</v>
      </c>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x14ac:dyDescent="0.3">
      <c r="A8" t="s">
        <v>16</v>
      </c>
      <c r="B8">
        <v>6</v>
      </c>
      <c r="C8">
        <v>0.5</v>
      </c>
      <c r="D8">
        <v>0.5</v>
      </c>
      <c r="E8">
        <v>0.5</v>
      </c>
      <c r="F8">
        <v>0.5</v>
      </c>
      <c r="G8">
        <v>0.5</v>
      </c>
      <c r="H8">
        <v>0.5</v>
      </c>
      <c r="I8">
        <v>0.5</v>
      </c>
      <c r="J8">
        <v>0.5</v>
      </c>
      <c r="K8">
        <v>0.5</v>
      </c>
      <c r="L8">
        <v>0.5</v>
      </c>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3">
      <c r="A9" t="s">
        <v>17</v>
      </c>
      <c r="B9">
        <v>20</v>
      </c>
      <c r="C9">
        <v>18</v>
      </c>
      <c r="D9">
        <v>18</v>
      </c>
      <c r="E9">
        <v>18</v>
      </c>
      <c r="F9">
        <v>18</v>
      </c>
      <c r="G9">
        <v>18</v>
      </c>
      <c r="H9">
        <v>18</v>
      </c>
      <c r="I9">
        <v>18</v>
      </c>
      <c r="J9">
        <v>18</v>
      </c>
      <c r="K9">
        <v>18</v>
      </c>
      <c r="L9">
        <v>18</v>
      </c>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x14ac:dyDescent="0.3">
      <c r="A10" t="s">
        <v>18</v>
      </c>
      <c r="B10">
        <v>8</v>
      </c>
      <c r="C10">
        <v>3</v>
      </c>
      <c r="D10">
        <v>3</v>
      </c>
      <c r="E10">
        <v>3</v>
      </c>
      <c r="F10">
        <v>3</v>
      </c>
      <c r="G10">
        <v>3</v>
      </c>
      <c r="H10">
        <v>3</v>
      </c>
      <c r="I10">
        <v>3</v>
      </c>
      <c r="J10">
        <v>3</v>
      </c>
      <c r="K10">
        <v>3</v>
      </c>
      <c r="L10">
        <v>3</v>
      </c>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3">
      <c r="A11" t="s">
        <v>19</v>
      </c>
      <c r="B11">
        <v>2</v>
      </c>
      <c r="C11">
        <v>1.5</v>
      </c>
      <c r="D11">
        <v>1.5</v>
      </c>
      <c r="E11">
        <v>1.5</v>
      </c>
      <c r="F11">
        <v>1.5</v>
      </c>
      <c r="G11">
        <v>1.5</v>
      </c>
      <c r="H11">
        <v>1.5</v>
      </c>
      <c r="I11">
        <v>1.5</v>
      </c>
      <c r="J11">
        <v>1.5</v>
      </c>
      <c r="K11">
        <v>1.5</v>
      </c>
      <c r="L11">
        <v>1.5</v>
      </c>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3">
      <c r="A12" t="s">
        <v>20</v>
      </c>
      <c r="B12">
        <v>40</v>
      </c>
      <c r="C12">
        <v>36.5</v>
      </c>
      <c r="D12">
        <v>36.5</v>
      </c>
      <c r="E12">
        <v>36.5</v>
      </c>
      <c r="F12">
        <v>36.5</v>
      </c>
      <c r="G12">
        <v>36.5</v>
      </c>
      <c r="H12">
        <v>36.5</v>
      </c>
      <c r="I12">
        <v>36.5</v>
      </c>
      <c r="J12">
        <v>36.5</v>
      </c>
      <c r="K12">
        <v>36.5</v>
      </c>
      <c r="L12">
        <v>36.5</v>
      </c>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3">
      <c r="A13" t="s">
        <v>21</v>
      </c>
      <c r="B13">
        <v>5</v>
      </c>
      <c r="C13">
        <v>0</v>
      </c>
      <c r="D13">
        <v>0</v>
      </c>
      <c r="E13">
        <v>0</v>
      </c>
      <c r="F13">
        <v>0</v>
      </c>
      <c r="G13">
        <v>0</v>
      </c>
      <c r="H13">
        <v>0</v>
      </c>
      <c r="I13">
        <v>0</v>
      </c>
      <c r="J13">
        <v>0</v>
      </c>
      <c r="K13">
        <v>0</v>
      </c>
      <c r="L13">
        <v>0</v>
      </c>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3">
      <c r="A14" t="s">
        <v>22</v>
      </c>
      <c r="B14">
        <v>8</v>
      </c>
      <c r="C14">
        <v>8</v>
      </c>
      <c r="D14">
        <v>8</v>
      </c>
      <c r="E14">
        <v>8</v>
      </c>
      <c r="F14">
        <v>8</v>
      </c>
      <c r="G14">
        <v>8</v>
      </c>
      <c r="H14">
        <v>8</v>
      </c>
      <c r="I14">
        <v>8</v>
      </c>
      <c r="J14">
        <v>8</v>
      </c>
      <c r="K14">
        <v>8</v>
      </c>
      <c r="L14">
        <v>8</v>
      </c>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3">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3">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x14ac:dyDescent="0.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x14ac:dyDescent="0.3">
      <c r="A18" t="s">
        <v>23</v>
      </c>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x14ac:dyDescent="0.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x14ac:dyDescent="0.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x14ac:dyDescent="0.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x14ac:dyDescent="0.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x14ac:dyDescent="0.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x14ac:dyDescent="0.3">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x14ac:dyDescent="0.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x14ac:dyDescent="0.3">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x14ac:dyDescent="0.3">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x14ac:dyDescent="0.3">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x14ac:dyDescent="0.3">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3">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3"/>
  </sheetData>
  <mergeCells count="2">
    <mergeCell ref="C1:M1"/>
    <mergeCell ref="N1:T1"/>
  </mergeCells>
  <conditionalFormatting sqref="C2:BJ2">
    <cfRule type="expression" dxfId="0" priority="1">
      <formula>AND(C$2&lt;&gt;"",WEEKDAY(C$2,2)&gt;5)</formula>
    </cfRule>
  </conditionalFormatting>
  <dataValidations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B3:B202 C3:L14" xr:uid="{00000000-0002-0000-0100-000001000000}">
      <formula1>0</formula1>
    </dataValidation>
    <dataValidation type="custom" showInputMessage="1" showErrorMessage="1" errorTitle="Input Error" error="Read the Validations Rules to Input Right Data" sqref="M3:BJ202 C15:L202"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121920</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4.4" x14ac:dyDescent="0.3"/>
  <cols>
    <col min="1" max="1" width="16" style="1" bestFit="1" customWidth="1"/>
    <col min="2" max="2" width="9.44140625" style="2" customWidth="1"/>
    <col min="3" max="62" width="9.109375" customWidth="1"/>
    <col min="63" max="16384" width="9.109375" hidden="1"/>
  </cols>
  <sheetData>
    <row r="1" spans="1:62" s="1" customFormat="1" x14ac:dyDescent="0.3">
      <c r="A1" s="1" t="s">
        <v>1</v>
      </c>
      <c r="B1" s="1" t="s">
        <v>3</v>
      </c>
      <c r="C1" s="8">
        <f>IF(Input!C$2="","",Input!C$2)</f>
        <v>43844</v>
      </c>
      <c r="D1" s="8">
        <f>IF(Input!D$2="","",Input!D$2)</f>
        <v>43845</v>
      </c>
      <c r="E1" s="8">
        <f>IF(Input!E$2="","",Input!E$2)</f>
        <v>43846</v>
      </c>
      <c r="F1" s="8">
        <f>IF(Input!F$2="","",Input!F$2)</f>
        <v>43847</v>
      </c>
      <c r="G1" s="8">
        <f>IF(Input!G$2="","",Input!G$2)</f>
        <v>43848</v>
      </c>
      <c r="H1" s="8">
        <f>IF(Input!H$2="","",Input!H$2)</f>
        <v>43849</v>
      </c>
      <c r="I1" s="8">
        <f>IF(Input!I$2="","",Input!I$2)</f>
        <v>43850</v>
      </c>
      <c r="J1" s="8">
        <f>IF(Input!J$2="","",Input!J$2)</f>
        <v>43851</v>
      </c>
      <c r="K1" s="8">
        <f>IF(Input!K$2="","",Input!K$2)</f>
        <v>43852</v>
      </c>
      <c r="L1" s="8">
        <f>IF(Input!L$2="","",Input!L$2)</f>
        <v>43853</v>
      </c>
      <c r="M1" s="8" t="str">
        <f>IF(Input!M$2="","",Input!M$2)</f>
        <v/>
      </c>
      <c r="N1" s="8" t="str">
        <f>IF(Input!N$2="","",Input!N$2)</f>
        <v/>
      </c>
      <c r="O1" s="8" t="str">
        <f>IF(Input!O$2="","",Input!O$2)</f>
        <v/>
      </c>
      <c r="P1" s="8" t="str">
        <f>IF(Input!P$2="","",Input!P$2)</f>
        <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3">
      <c r="A2" s="6" t="str">
        <f>IF('Burndown Chart'!$L$2="","Planned Effort",'Burndown Chart'!$L$2)</f>
        <v>Planned Effort</v>
      </c>
      <c r="B2" s="7">
        <f>SUM(Input!$B$3:$B$202)</f>
        <v>127</v>
      </c>
      <c r="C2" s="4">
        <f t="shared" ref="C2:AH2" si="0">IF(C$1="","",B$2-$B$2/(SUMPRODUCT(--($C$1:$BJ$1&lt;&gt;""))))</f>
        <v>114.3</v>
      </c>
      <c r="D2" s="4">
        <f t="shared" si="0"/>
        <v>101.6</v>
      </c>
      <c r="E2" s="4">
        <f t="shared" si="0"/>
        <v>88.899999999999991</v>
      </c>
      <c r="F2" s="4">
        <f t="shared" si="0"/>
        <v>76.199999999999989</v>
      </c>
      <c r="G2" s="4">
        <f t="shared" si="0"/>
        <v>63.499999999999986</v>
      </c>
      <c r="H2" s="4">
        <f t="shared" si="0"/>
        <v>50.799999999999983</v>
      </c>
      <c r="I2" s="4">
        <f t="shared" si="0"/>
        <v>38.09999999999998</v>
      </c>
      <c r="J2" s="4">
        <f t="shared" si="0"/>
        <v>25.399999999999981</v>
      </c>
      <c r="K2" s="4">
        <f t="shared" si="0"/>
        <v>12.699999999999982</v>
      </c>
      <c r="L2" s="4">
        <f t="shared" si="0"/>
        <v>-1.7763568394002505E-14</v>
      </c>
      <c r="M2" s="4" t="str">
        <f t="shared" si="0"/>
        <v/>
      </c>
      <c r="N2" s="4" t="str">
        <f t="shared" si="0"/>
        <v/>
      </c>
      <c r="O2" s="4" t="str">
        <f t="shared" si="0"/>
        <v/>
      </c>
      <c r="P2" s="4" t="str">
        <f t="shared" si="0"/>
        <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3">
      <c r="A3" s="6" t="str">
        <f>IF('Burndown Chart'!$L$3="","Hours Remaining",'Burndown Chart'!$L$3)</f>
        <v>Hours Remaining</v>
      </c>
      <c r="B3" s="7">
        <f>SUM(Input!$B$3:$B$202)</f>
        <v>127</v>
      </c>
      <c r="C3" s="4">
        <f>IF(C$1="","",SUM(Input!C$3:C$202))</f>
        <v>97.5</v>
      </c>
      <c r="D3" s="4">
        <f>IF(D$1="","",SUM(Input!D$3:D$202))</f>
        <v>97.5</v>
      </c>
      <c r="E3" s="4">
        <f>IF(E$1="","",SUM(Input!E$3:E$202))</f>
        <v>97.5</v>
      </c>
      <c r="F3" s="4">
        <f>IF(F$1="","",SUM(Input!F$3:F$202))</f>
        <v>97.5</v>
      </c>
      <c r="G3" s="4">
        <f>IF(G$1="","",SUM(Input!G$3:G$202))</f>
        <v>97.5</v>
      </c>
      <c r="H3" s="4">
        <f>IF(H$1="","",SUM(Input!H$3:H$202))</f>
        <v>97.5</v>
      </c>
      <c r="I3" s="4">
        <f>IF(I$1="","",SUM(Input!I$3:I$202))</f>
        <v>97.5</v>
      </c>
      <c r="J3" s="4">
        <f>IF(J$1="","",SUM(Input!J$3:J$202))</f>
        <v>97.5</v>
      </c>
      <c r="K3" s="4">
        <f>IF(K$1="","",SUM(Input!K$3:K$202))</f>
        <v>97.5</v>
      </c>
      <c r="L3" s="4">
        <f>IF(L$1="","",SUM(Input!L$3:L$202))</f>
        <v>97.5</v>
      </c>
      <c r="M3" s="4" t="str">
        <f>IF(M$1="","",SUM(Input!M$3:M$202))</f>
        <v/>
      </c>
      <c r="N3" s="4" t="str">
        <f>IF(N$1="","",SUM(Input!N$3:N$202))</f>
        <v/>
      </c>
      <c r="O3" s="4" t="str">
        <f>IF(O$1="","",SUM(Input!O$3:O$202))</f>
        <v/>
      </c>
      <c r="P3" s="4" t="str">
        <f>IF(P$1="","",SUM(Input!P$3:P$202))</f>
        <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3">
      <c r="A4" s="1" t="s">
        <v>5</v>
      </c>
      <c r="B4" s="2">
        <v>0</v>
      </c>
      <c r="C4" t="e">
        <f ca="1">IF(C$1="","",CountCTs(Input!C$3:C$202))</f>
        <v>#NAME?</v>
      </c>
      <c r="D4" t="e">
        <f ca="1">IF(D$1="","",CountCTs(Input!D$3:D$202))</f>
        <v>#NAME?</v>
      </c>
      <c r="E4" t="e">
        <f ca="1">IF(E$1="","",CountCTs(Input!E$3:E$202))</f>
        <v>#NAME?</v>
      </c>
      <c r="F4" t="e">
        <f ca="1">IF(F$1="","",CountCTs(Input!F$3:F$202))</f>
        <v>#NAME?</v>
      </c>
      <c r="G4" t="e">
        <f ca="1">IF(G$1="","",CountCTs(Input!G$3:G$202))</f>
        <v>#NAME?</v>
      </c>
      <c r="H4" t="e">
        <f ca="1">IF(H$1="","",CountCTs(Input!H$3:H$202))</f>
        <v>#NAME?</v>
      </c>
      <c r="I4" t="e">
        <f ca="1">IF(I$1="","",CountCTs(Input!I$3:I$202))</f>
        <v>#NAME?</v>
      </c>
      <c r="J4" t="e">
        <f ca="1">IF(J$1="","",CountCTs(Input!J$3:J$202))</f>
        <v>#NAME?</v>
      </c>
      <c r="K4" t="e">
        <f ca="1">IF(K$1="","",CountCTs(Input!K$3:K$202))</f>
        <v>#NAME?</v>
      </c>
      <c r="L4" t="e">
        <f ca="1">IF(L$1="","",CountCTs(Input!L$3:L$202))</f>
        <v>#NAME?</v>
      </c>
      <c r="M4" t="str">
        <f>IF(M$1="","",CountCTs(Input!M$3:M$202))</f>
        <v/>
      </c>
      <c r="N4" t="str">
        <f>IF(N$1="","",CountCTs(Input!N$3:N$202))</f>
        <v/>
      </c>
      <c r="O4" t="str">
        <f>IF(O$1="","",CountCTs(Input!O$3:O$202))</f>
        <v/>
      </c>
      <c r="P4" t="str">
        <f>IF(P$1="","",CountCTs(Input!P$3:P$202))</f>
        <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3">
      <c r="A5" s="1" t="s">
        <v>6</v>
      </c>
      <c r="B5" s="2">
        <f>SUMPRODUCT(--(Input!$A$3:$A$202&lt;&gt;""))</f>
        <v>13</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3">
      <c r="A7"/>
    </row>
    <row r="8" spans="1:62" x14ac:dyDescent="0.3">
      <c r="A8"/>
    </row>
    <row r="9" spans="1:62" x14ac:dyDescent="0.3">
      <c r="A9"/>
    </row>
    <row r="10" spans="1:62" x14ac:dyDescent="0.3">
      <c r="A10"/>
    </row>
    <row r="11" spans="1:62" x14ac:dyDescent="0.3">
      <c r="A11"/>
    </row>
    <row r="12" spans="1:62" x14ac:dyDescent="0.3">
      <c r="A12"/>
    </row>
    <row r="13" spans="1:62" x14ac:dyDescent="0.3">
      <c r="A13"/>
    </row>
    <row r="14" spans="1:62" x14ac:dyDescent="0.3">
      <c r="A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Tim Maas Gesteranus</cp:lastModifiedBy>
  <cp:lastPrinted>2016-02-23T08:42:38Z</cp:lastPrinted>
  <dcterms:created xsi:type="dcterms:W3CDTF">2016-02-23T08:35:30Z</dcterms:created>
  <dcterms:modified xsi:type="dcterms:W3CDTF">2020-01-14T15:14:29Z</dcterms:modified>
</cp:coreProperties>
</file>